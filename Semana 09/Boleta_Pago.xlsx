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74993b15cd44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ámetros" sheetId="1" r:id="Rc3a47730886e4300"/>
    <x:sheet xmlns:r="http://schemas.openxmlformats.org/officeDocument/2006/relationships" name="Boleta" sheetId="2" r:id="R7104b3556c95466d"/>
    <x:sheet xmlns:r="http://schemas.openxmlformats.org/officeDocument/2006/relationships" name="Casos" sheetId="3" r:id="Raeb083b3ae624080"/>
    <x:sheet xmlns:r="http://schemas.openxmlformats.org/officeDocument/2006/relationships" name="Explicación" sheetId="4" r:id="Ra4ee94b955174031"/>
  </x:sheets>
</x:workbook>
</file>

<file path=xl/sharedStrings.xml><?xml version="1.0" encoding="utf-8"?>
<x:sst xmlns:x="http://schemas.openxmlformats.org/spreadsheetml/2006/main">
  <x:si>
    <x:t xml:space="preserve">Parámetros de la boleta de pago</x:t>
  </x:si>
  <x:si>
    <x:t xml:space="preserve">Texto en azul = dato que se escribe a mano. Texto en negro = fórmula. Todo el libro lee los valores desde esta hoja.</x:t>
  </x:si>
  <x:si>
    <x:t xml:space="preserve">Parámetro</x:t>
  </x:si>
  <x:si>
    <x:t xml:space="preserve">Valor</x:t>
  </x:si>
  <x:si>
    <x:t xml:space="preserve">Fuente</x:t>
  </x:si>
  <x:si>
    <x:t xml:space="preserve">Fecha de consulta</x:t>
  </x:si>
  <x:si>
    <x:t xml:space="preserve">RMV (S/)</x:t>
  </x:si>
  <x:si>
    <x:t xml:space="preserve">Porcentaje de asignación familiar</x:t>
  </x:si>
  <x:si>
    <x:t xml:space="preserve">Asignación familiar (S/)</x:t>
  </x:si>
  <x:si>
    <x:t xml:space="preserve">Fórmula: RMV × porcentaje</x:t>
  </x:si>
  <x:si>
    <x:t xml:space="preserve">—</x:t>
  </x:si>
  <x:si>
    <x:t xml:space="preserve">Tasa ONP</x:t>
  </x:si>
  <x:si>
    <x:t xml:space="preserve">Tasa EsSalud (empleador)</x:t>
  </x:si>
  <x:si>
    <x:t xml:space="preserve">Recargo horas extras: primeras horas</x:t>
  </x:si>
  <x:si>
    <x:t xml:space="preserve">Recargo horas extras: horas siguientes</x:t>
  </x:si>
  <x:si>
    <x:t xml:space="preserve">Días del mes comercial</x:t>
  </x:si>
  <x:si>
    <x:t xml:space="preserve">Convención de la guía (sueldo ÷ 30)</x:t>
  </x:si>
  <x:si>
    <x:t xml:space="preserve">25/10/2026</x:t>
  </x:si>
  <x:si>
    <x:t xml:space="preserve">Horas por día</x:t>
  </x:si>
  <x:si>
    <x:t xml:space="preserve">Convención de la guía (valor hora = sueldo ÷ 30 ÷ 8)</x:t>
  </x:si>
  <x:si>
    <x:t xml:space="preserve">Tasas por AFP (diccionario: nombre → tasas)</x:t>
  </x:si>
  <x:si>
    <x:t xml:space="preserve">AFP</x:t>
  </x:si>
  <x:si>
    <x:t xml:space="preserve">Fondo</x:t>
  </x:si>
  <x:si>
    <x:t xml:space="preserve">Comisión</x:t>
  </x:si>
  <x:si>
    <x:t xml:space="preserve">Seguro</x:t>
  </x:si>
  <x:si>
    <x:t xml:space="preserve">AFP Ejemplo</x:t>
  </x:si>
  <x:si>
    <x:t xml:space="preserve">Valores de prueba de la guía (solo casos de prueba)</x:t>
  </x:si>
  <x:si>
    <x:t xml:space="preserve">Habitat</x:t>
  </x:si>
  <x:si>
    <x:t xml:space="preserve">Integra</x:t>
  </x:si>
  <x:si>
    <x:t xml:space="preserve">Prima</x:t>
  </x:si>
  <x:si>
    <x:t xml:space="preserve">Profuturo</x:t>
  </x:si>
  <x:si>
    <x:t xml:space="preserve">Boleta de ejemplo</x:t>
  </x:si>
  <x:si>
    <x:t xml:space="preserve">Cambia solo las celdas amarillas. Viene cargado el caso 3 como ejemplo de formato.</x:t>
  </x:si>
  <x:si>
    <x:t xml:space="preserve">DATOS DE ENTRADA</x:t>
  </x:si>
  <x:si>
    <x:t xml:space="preserve">Sueldo básico (S/)</x:t>
  </x:si>
  <x:si>
    <x:t xml:space="preserve">Días laborados (1 a 30)</x:t>
  </x:si>
  <x:si>
    <x:t xml:space="preserve">¿Tiene hijos? (Sí / No)</x:t>
  </x:si>
  <x:si>
    <x:t xml:space="preserve">Sí</x:t>
  </x:si>
  <x:si>
    <x:t xml:space="preserve">Sistema de pensiones (ONP / AFP)</x:t>
  </x:si>
  <x:si>
    <x:t xml:space="preserve">AFP (solo si el sistema es AFP)</x:t>
  </x:si>
  <x:si>
    <x:t xml:space="preserve">Horas extras al 25%</x:t>
  </x:si>
  <x:si>
    <x:t xml:space="preserve">Horas extras al 35%</x:t>
  </x:si>
  <x:si>
    <x:t xml:space="preserve">Adelantos (S/)</x:t>
  </x:si>
  <x:si>
    <x:t xml:space="preserve">CÁLCULO</x:t>
  </x:si>
  <x:si>
    <x:t xml:space="preserve">REMUNERACIONES</x:t>
  </x:si>
  <x:si>
    <x:t xml:space="preserve">Monto (S/)</x:t>
  </x:si>
  <x:si>
    <x:t xml:space="preserve">Valor hora (sin redondear, solo auxiliar)</x:t>
  </x:si>
  <x:si>
    <x:t xml:space="preserve">Sueldo computable</x:t>
  </x:si>
  <x:si>
    <x:t xml:space="preserve">Asignación familiar</x:t>
  </x:si>
  <x:si>
    <x:t xml:space="preserve">Horas extras 25%</x:t>
  </x:si>
  <x:si>
    <x:t xml:space="preserve">Horas extras 35%</x:t>
  </x:si>
  <x:si>
    <x:t xml:space="preserve">Total remuneraciones</x:t>
  </x:si>
  <x:si>
    <x:t xml:space="preserve">RETENCIONES / DESCUENTOS</x:t>
  </x:si>
  <x:si>
    <x:t xml:space="preserve">ONP</x:t>
  </x:si>
  <x:si>
    <x:t xml:space="preserve">AFP fondo</x:t>
  </x:si>
  <x:si>
    <x:t xml:space="preserve">AFP comisión</x:t>
  </x:si>
  <x:si>
    <x:t xml:space="preserve">AFP seguro</x:t>
  </x:si>
  <x:si>
    <x:t xml:space="preserve">Adelantos</x:t>
  </x:si>
  <x:si>
    <x:t xml:space="preserve">Total descuentos</x:t>
  </x:si>
  <x:si>
    <x:t xml:space="preserve">APORTACIONES DEL EMPLEADOR</x:t>
  </x:si>
  <x:si>
    <x:t xml:space="preserve">EsSalud (9%)</x:t>
  </x:si>
  <x:si>
    <x:t xml:space="preserve">NETO A PAGAR (S/)</x:t>
  </x:si>
  <x:si>
    <x:t xml:space="preserve">Costo total para el empleador (remuneraciones + EsSalud)</x:t>
  </x:si>
  <x:si>
    <x:t xml:space="preserve">% del costo que llega al trabajador como neto</x:t>
  </x:si>
  <x:si>
    <x:t xml:space="preserve">Casos de prueba (control cruzado app ↔ Excel)</x:t>
  </x:si>
  <x:si>
    <x:t xml:space="preserve">Cada fila es un caso completo con las mismas reglas de la hoja Boleta. Después de correr el caso en la app, escribe su neto en la columna X (azul): la columna Y muestra la diferencia.</x:t>
  </x:si>
  <x:si>
    <x:t xml:space="preserve">Caso</x:t>
  </x:si>
  <x:si>
    <x:t xml:space="preserve">Sueldo básico</x:t>
  </x:si>
  <x:si>
    <x:t xml:space="preserve">Días</x:t>
  </x:si>
  <x:si>
    <x:t xml:space="preserve">¿Hijos?</x:t>
  </x:si>
  <x:si>
    <x:t xml:space="preserve">Sistema</x:t>
  </x:si>
  <x:si>
    <x:t xml:space="preserve">H.E. 25%</x:t>
  </x:si>
  <x:si>
    <x:t xml:space="preserve">H.E. 35%</x:t>
  </x:si>
  <x:si>
    <x:t xml:space="preserve">H.E. 25% (S/)</x:t>
  </x:si>
  <x:si>
    <x:t xml:space="preserve">H.E. 35% (S/)</x:t>
  </x:si>
  <x:si>
    <x:t xml:space="preserve">Neto a pagar</x:t>
  </x:si>
  <x:si>
    <x:t xml:space="preserve">EsSalud (empleador)</x:t>
  </x:si>
  <x:si>
    <x:t xml:space="preserve">Neto según la guía</x:t>
  </x:si>
  <x:si>
    <x:t xml:space="preserve">¿Coincide con la guía?</x:t>
  </x:si>
  <x:si>
    <x:t xml:space="preserve">Neto en la app</x:t>
  </x:si>
  <x:si>
    <x:t xml:space="preserve">Diferencia app − Excel</x:t>
  </x:si>
  <x:si>
    <x:t xml:space="preserve">Caso 1</x:t>
  </x:si>
  <x:si>
    <x:t xml:space="preserve">No</x:t>
  </x:si>
  <x:si>
    <x:t xml:space="preserve">Caso 2</x:t>
  </x:si>
  <x:si>
    <x:t xml:space="preserve">Caso 3</x:t>
  </x:si>
  <x:si>
    <x:t xml:space="preserve">Caso 4 (evalúa el docente)</x:t>
  </x:si>
  <x:si>
    <x:t xml:space="preserve">Caso propio (oferta laboral real)</x:t>
  </x:si>
  <x:si>
    <x:t xml:space="preserve">Fuente de la columna V: guía del curso, casos 1 a 3 (azul = dato copiado de la guía). El caso 4 no trae respuesta: lo revisa el docente. El caso propio se completa con el sueldo de una oferta real (guardar enlace y fecha en la tabla de fuentes).</x:t>
  </x:si>
  <x:si>
    <x:t xml:space="preserve">Explicación de cada fórmula</x:t>
  </x:si>
  <x:si>
    <x:t xml:space="preserve">Pensada para alguien que no sabe contabilidad. Los números de ejemplo y el resultado se leen de la fila del Caso 3 de la hoja Casos (sueldo S/ 3,000, 30 días, con hijos, AFP, 4+4 horas extras, adelanto S/ 200).</x:t>
  </x:si>
  <x:si>
    <x:t xml:space="preserve">Concepto</x:t>
  </x:si>
  <x:si>
    <x:t xml:space="preserve">Qué es, en palabras</x:t>
  </x:si>
  <x:si>
    <x:t xml:space="preserve">Fórmula (en palabras)</x:t>
  </x:si>
  <x:si>
    <x:t xml:space="preserve">Ejemplo numérico (caso 3)</x:t>
  </x:si>
  <x:si>
    <x:t xml:space="preserve">La parte del sueldo que realmente se ganó en el mes, según los días que se trabajó.</x:t>
  </x:si>
  <x:si>
    <x:t xml:space="preserve">Sueldo básico ÷ 30 × días laborados, redondeado a 2 decimales.</x:t>
  </x:si>
  <x:si>
    <x:t xml:space="preserve">3,000 ÷ 30 × 30 = 3,000.00</x:t>
  </x:si>
  <x:si>
    <x:t xml:space="preserve">Un monto fijo que recibe quien tiene hijos. No depende de los días trabajados.</x:t>
  </x:si>
  <x:si>
    <x:t xml:space="preserve">Si tiene hijos: 10% de la RMV (sueldo mínimo legal). Si no, 0.</x:t>
  </x:si>
  <x:si>
    <x:t xml:space="preserve">10% × 1,230 = 123.00</x:t>
  </x:si>
  <x:si>
    <x:t xml:space="preserve">Valor hora</x:t>
  </x:si>
  <x:si>
    <x:t xml:space="preserve">Cuánto vale una hora normal de trabajo. Sirve para calcular las horas extras.</x:t>
  </x:si>
  <x:si>
    <x:t xml:space="preserve">Sueldo básico ÷ 30 ÷ 8. No se redondea (solo se usa para calcular).</x:t>
  </x:si>
  <x:si>
    <x:t xml:space="preserve">3,000 ÷ 30 ÷ 8 = 12.50</x:t>
  </x:si>
  <x:si>
    <x:t xml:space="preserve">Horas trabajadas de más. Se pagan con un recargo del 25% sobre el valor hora.</x:t>
  </x:si>
  <x:si>
    <x:t xml:space="preserve">Valor hora × 1.25 × número de horas.</x:t>
  </x:si>
  <x:si>
    <x:t xml:space="preserve">12.50 × 1.25 × 4 = 62.50</x:t>
  </x:si>
  <x:si>
    <x:t xml:space="preserve">Horas de más a partir de cierto punto, con recargo del 35%.</x:t>
  </x:si>
  <x:si>
    <x:t xml:space="preserve">Valor hora × 1.35 × número de horas.</x:t>
  </x:si>
  <x:si>
    <x:t xml:space="preserve">12.50 × 1.35 × 4 = 67.50</x:t>
  </x:si>
  <x:si>
    <x:t xml:space="preserve">Todo lo que el trabajador gana en el mes antes de descuentos (también se llama sueldo bruto del mes).</x:t>
  </x:si>
  <x:si>
    <x:t xml:space="preserve">Suma de sueldo computable, asignación familiar y horas extras.</x:t>
  </x:si>
  <x:si>
    <x:t xml:space="preserve">3,000 + 123 + 62.50 + 67.50 = 3,253.00</x:t>
  </x:si>
  <x:si>
    <x:t xml:space="preserve">Aporte al sistema público de pensiones. Se descuenta al trabajador si está en la ONP.</x:t>
  </x:si>
  <x:si>
    <x:t xml:space="preserve">13% del total de remuneraciones. Si está en AFP, es 0.</x:t>
  </x:si>
  <x:si>
    <x:t xml:space="preserve">En el caso 3 es AFP, por eso 0.00 (con ONP serían 3,253 × 13% = 422.89)</x:t>
  </x:si>
  <x:si>
    <x:t xml:space="preserve">Parte del descuento que va a la cuenta de ahorro personal del trabajador para su jubilación.</x:t>
  </x:si>
  <x:si>
    <x:t xml:space="preserve">Total de remuneraciones × tasa de fondo de su AFP.</x:t>
  </x:si>
  <x:si>
    <x:t xml:space="preserve">3,253 × 10% = 325.30</x:t>
  </x:si>
  <x:si>
    <x:t xml:space="preserve">Lo que cobra la AFP por administrar la cuenta.</x:t>
  </x:si>
  <x:si>
    <x:t xml:space="preserve">Total de remuneraciones × tasa de comisión, redondeado a 2 decimales.</x:t>
  </x:si>
  <x:si>
    <x:t xml:space="preserve">3,253 × 1.60% = 52.048 → 52.05</x:t>
  </x:si>
  <x:si>
    <x:t xml:space="preserve">Seguro de invalidez y sobrevivencia que cubre la AFP.</x:t>
  </x:si>
  <x:si>
    <x:t xml:space="preserve">Total de remuneraciones × tasa de seguro, redondeado a 2 decimales.</x:t>
  </x:si>
  <x:si>
    <x:t xml:space="preserve">3,253 × 1.35% = 43.9155 → 43.92</x:t>
  </x:si>
  <x:si>
    <x:t xml:space="preserve">Dinero que la empresa ya le entregó al trabajador durante el mes.</x:t>
  </x:si>
  <x:si>
    <x:t xml:space="preserve">Se resta tal cual, sin porcentaje.</x:t>
  </x:si>
  <x:si>
    <x:t xml:space="preserve">200.00</x:t>
  </x:si>
  <x:si>
    <x:t xml:space="preserve">Todo lo que se le resta al trabajador: su pensión (ONP o AFP) y los adelantos.</x:t>
  </x:si>
  <x:si>
    <x:t xml:space="preserve">Pensión (ONP o las tres de AFP) + adelantos.</x:t>
  </x:si>
  <x:si>
    <x:t xml:space="preserve">325.30 + 52.05 + 43.92 + 200.00 = 621.27</x:t>
  </x:si>
  <x:si>
    <x:t xml:space="preserve">El dinero que realmente llega al bolsillo del trabajador.</x:t>
  </x:si>
  <x:si>
    <x:t xml:space="preserve">Total remuneraciones − total descuentos.</x:t>
  </x:si>
  <x:si>
    <x:t xml:space="preserve">3,253.00 − 621.27 = 2,631.73</x:t>
  </x:si>
  <x:si>
    <x:t xml:space="preserve">Aporte de salud que paga la empresa por el trabajador. No se descuenta al trabajador: es un costo extra de la empresa.</x:t>
  </x:si>
  <x:si>
    <x:t xml:space="preserve">9% del total de remuneraciones.</x:t>
  </x:si>
  <x:si>
    <x:t xml:space="preserve">3,253 × 9% = 292.77</x:t>
  </x:si>
  <x:si>
    <x:t xml:space="preserve">Redondeo</x:t>
  </x:si>
  <x:si>
    <x:t xml:space="preserve">Para que todos obtengan el mismo resultado, cada concepto se redondea a 2 decimales y recién después se suman.</x:t>
  </x:si>
  <x:si>
    <x:t xml:space="preserve">ROUND(valor; 2) en cada concepto, nunca sobre el total.</x:t>
  </x:si>
  <x:si>
    <x:t xml:space="preserve">52.048 → 52.05</x:t>
  </x:si>
</x:sst>
</file>

<file path=xl/styles.xml><?xml version="1.0" encoding="utf-8"?>
<x:styleSheet xmlns:x="http://schemas.openxmlformats.org/spreadsheetml/2006/main">
  <x:numFmts count="6">
    <x:numFmt numFmtId="164" formatCode="General"/>
    <x:numFmt numFmtId="165" formatCode="#,##0.00;\-#,##0.00;0.00"/>
    <x:numFmt numFmtId="166" formatCode="0.00%"/>
    <x:numFmt numFmtId="167" formatCode="0"/>
    <x:numFmt numFmtId="168" formatCode="0.00"/>
    <x:numFmt numFmtId="169" formatCode="#,##0.0000"/>
  </x:numFmts>
  <x:fonts count="13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4"/>
      <x:name val="Arial"/>
    </x:font>
    <x:font>
      <x:sz val="1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0"/>
      <x:name val="Arial"/>
    </x:font>
    <x:font>
      <x:i/>
      <x:sz val="9"/>
      <x:name val="Arial"/>
    </x:font>
    <x:font>
      <x:b/>
      <x:sz val="12"/>
      <x:name val="Arial"/>
    </x:font>
    <x:font>
      <x:b/>
      <x:sz val="11"/>
      <x:color rgb="FFFFFFFF"/>
      <x:name val="Calibri"/>
      <x:family val="2"/>
    </x:font>
    <x:font>
      <x:sz val="10"/>
      <x:color theme="1"/>
      <x:name val="Consolas"/>
      <x:family val="2"/>
    </x:font>
  </x:fonts>
  <x:fills count="7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FFF2CC"/>
      </x:patternFill>
    </x:fill>
    <x:fill>
      <x:patternFill patternType="solid">
        <x:fgColor rgb="FFEDEDED"/>
      </x:patternFill>
    </x:fill>
    <x:fill>
      <x:patternFill patternType="solid">
        <x:fgColor rgb="FFE2EFDA"/>
      </x:patternFill>
    </x:fill>
    <x:fill>
      <x:patternFill patternType="solid">
        <x:fgColor rgb="FF203864"/>
      </x:patternFill>
    </x:fill>
  </x:fills>
  <x:borders count="2">
    <x:border diagonalUp="0" diagonalDown="0">
      <x:left/>
      <x:right/>
      <x:top/>
      <x:bottom/>
      <x:diagonal/>
    </x:border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38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4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5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6" fillId="2" borderId="1" xfId="0" applyFont="1" applyBorder="1" applyAlignment="1" applyProtection="0">
      <x:alignment horizontal="center" vertical="center" wrapText="1" shrinkToFit="0"/>
      <x:protection locked="1" hidden="0"/>
    </x:xf>
    <x:xf numFmtId="164" fontId="5" fillId="0" borderId="1" xfId="0" applyFont="1" applyBorder="1" applyAlignment="0" applyProtection="0">
      <x:alignment horizontal="general" vertical="bottom" wrapText="0" shrinkToFit="0"/>
      <x:protection locked="1" hidden="0"/>
    </x:xf>
    <x:xf numFmtId="165" fontId="7" fillId="0" borderId="1" xfId="0" applyFont="1" applyBorder="1" applyAlignment="0" applyProtection="0">
      <x:alignment horizontal="general" vertical="bottom" wrapText="0" shrinkToFit="0"/>
      <x:protection locked="1" hidden="0"/>
    </x:xf>
    <x:xf numFmtId="164" fontId="5" fillId="0" borderId="1" xfId="0" applyFont="1" applyBorder="1" applyAlignment="1" applyProtection="0">
      <x:alignment horizontal="general" vertical="top" wrapText="1" shrinkToFit="0"/>
      <x:protection locked="1" hidden="0"/>
    </x:xf>
    <x:xf numFmtId="166" fontId="7" fillId="0" borderId="1" xfId="0" applyFont="1" applyBorder="1" applyAlignment="0" applyProtection="0">
      <x:alignment horizontal="general" vertical="bottom" wrapText="0" shrinkToFit="0"/>
      <x:protection locked="1" hidden="0"/>
    </x:xf>
    <x:xf numFmtId="165" fontId="5" fillId="0" borderId="1" xfId="0" applyFont="1" applyBorder="1" applyAlignment="0" applyProtection="0">
      <x:alignment horizontal="general" vertical="bottom" wrapText="0" shrinkToFit="0"/>
      <x:protection locked="1" hidden="0"/>
    </x:xf>
    <x:xf numFmtId="167" fontId="7" fillId="0" borderId="1" xfId="0" applyFont="1" applyBorder="1" applyAlignment="0" applyProtection="0">
      <x:alignment horizontal="general" vertical="bottom" wrapText="0" shrinkToFit="0"/>
      <x:protection locked="1" hidden="0"/>
    </x:xf>
    <x:xf numFmtId="164" fontId="8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7" fillId="0" borderId="1" xfId="0" applyFont="1" applyBorder="1" applyAlignment="0" applyProtection="0">
      <x:alignment horizontal="general" vertical="bottom" wrapText="0" shrinkToFit="0"/>
      <x:protection locked="1" hidden="0"/>
    </x:xf>
    <x:xf numFmtId="164" fontId="9" fillId="0" borderId="0" xfId="0" applyFont="1" applyBorder="0" applyAlignment="0" applyProtection="0">
      <x:alignment horizontal="general" vertical="bottom" wrapText="0" shrinkToFit="0"/>
      <x:protection locked="1" hidden="0"/>
    </x:xf>
    <x:xf numFmtId="165" fontId="7" fillId="3" borderId="1" xfId="0" applyFont="1" applyBorder="1" applyAlignment="0" applyProtection="0">
      <x:alignment horizontal="general" vertical="bottom" wrapText="0" shrinkToFit="0"/>
      <x:protection locked="1" hidden="0"/>
    </x:xf>
    <x:xf numFmtId="167" fontId="7" fillId="3" borderId="1" xfId="0" applyFont="1" applyBorder="1" applyAlignment="0" applyProtection="0">
      <x:alignment horizontal="general" vertical="bottom" wrapText="0" shrinkToFit="0"/>
      <x:protection locked="1" hidden="0"/>
    </x:xf>
    <x:xf numFmtId="164" fontId="7" fillId="3" borderId="1" xfId="0" applyFont="1" applyBorder="1" applyAlignment="0" applyProtection="0">
      <x:alignment horizontal="general" vertical="bottom" wrapText="0" shrinkToFit="0"/>
      <x:protection locked="1" hidden="0"/>
    </x:xf>
    <x:xf numFmtId="168" fontId="7" fillId="3" borderId="1" xfId="0" applyFont="1" applyBorder="1" applyAlignment="0" applyProtection="0">
      <x:alignment horizontal="general" vertical="bottom" wrapText="0" shrinkToFit="0"/>
      <x:protection locked="1" hidden="0"/>
    </x:xf>
    <x:xf numFmtId="169" fontId="5" fillId="4" borderId="1" xfId="0" applyFont="1" applyBorder="1" applyAlignment="0" applyProtection="0">
      <x:alignment horizontal="general" vertical="bottom" wrapText="0" shrinkToFit="0"/>
      <x:protection locked="1" hidden="0"/>
    </x:xf>
    <x:xf numFmtId="164" fontId="8" fillId="0" borderId="1" xfId="0" applyFont="1" applyBorder="1" applyAlignment="0" applyProtection="0">
      <x:alignment horizontal="general" vertical="bottom" wrapText="0" shrinkToFit="0"/>
      <x:protection locked="1" hidden="0"/>
    </x:xf>
    <x:xf numFmtId="165" fontId="8" fillId="5" borderId="1" xfId="0" applyFont="1" applyBorder="1" applyAlignment="0" applyProtection="0">
      <x:alignment horizontal="general" vertical="bottom" wrapText="0" shrinkToFit="0"/>
      <x:protection locked="1" hidden="0"/>
    </x:xf>
    <x:xf numFmtId="164" fontId="10" fillId="0" borderId="1" xfId="0" applyFont="1" applyBorder="1" applyAlignment="0" applyProtection="0">
      <x:alignment horizontal="general" vertical="bottom" wrapText="0" shrinkToFit="0"/>
      <x:protection locked="1" hidden="0"/>
    </x:xf>
    <x:xf numFmtId="165" fontId="10" fillId="5" borderId="1" xfId="0" applyFont="1" applyBorder="1" applyAlignment="0" applyProtection="0">
      <x:alignment horizontal="general" vertical="bottom" wrapText="0" shrinkToFit="0"/>
      <x:protection locked="1" hidden="0"/>
    </x:xf>
    <x:xf numFmtId="166" fontId="5" fillId="0" borderId="1" xfId="0" applyFont="1" applyBorder="1" applyAlignment="0" applyProtection="0">
      <x:alignment horizontal="general" vertical="bottom" wrapText="0" shrinkToFit="0"/>
      <x:protection locked="1" hidden="0"/>
    </x:xf>
    <x:xf numFmtId="168" fontId="7" fillId="0" borderId="1" xfId="0" applyFont="1" applyBorder="1" applyAlignment="0" applyProtection="0">
      <x:alignment horizontal="general" vertical="bottom" wrapText="0" shrinkToFit="0"/>
      <x:protection locked="1" hidden="0"/>
    </x:xf>
    <x:xf numFmtId="164" fontId="8" fillId="0" borderId="1" xfId="0" applyFont="1" applyBorder="1" applyAlignment="1" applyProtection="0">
      <x:alignment horizontal="general" vertical="top" wrapText="1" shrinkToFit="0"/>
      <x:protection locked="1" hidden="0"/>
    </x:xf>
    <x:xf numFmtId="164" fontId="1" fillId="0" borderId="1" xfId="0" applyNumberFormat="1" applyFont="1" applyFill="1" applyBorder="1" applyAlignment="1">
      <x:alignment horizontal="general" vertical="top" wrapText="1"/>
    </x:xf>
    <x:xf numFmtId="164" fontId="7" fillId="0" borderId="1" xfId="0" applyNumberFormat="1" applyFont="1" applyFill="1" applyBorder="1" applyAlignment="1">
      <x:alignment horizontal="general" vertical="center" wrapText="0"/>
    </x:xf>
    <x:xf numFmtId="166" fontId="7" fillId="0" borderId="1" xfId="0" applyNumberFormat="1" applyFont="1" applyFill="1" applyBorder="1" applyAlignment="1">
      <x:alignment horizontal="general" vertical="center" wrapText="0"/>
    </x:xf>
    <x:xf numFmtId="164" fontId="1" fillId="0" borderId="1" xfId="0" applyNumberFormat="1" applyFont="1" applyFill="1" applyBorder="1" applyAlignment="1">
      <x:alignment horizontal="general" vertical="center" wrapText="1"/>
    </x:xf>
    <x:xf numFmtId="164" fontId="1" fillId="0" borderId="1" xfId="0" applyNumberFormat="1" applyFont="1" applyFill="1" applyBorder="1" applyAlignment="1">
      <x:alignment horizontal="general" vertical="center" wrapText="0"/>
    </x:xf>
    <x:xf numFmtId="164" fontId="1" fillId="0" borderId="1" xfId="0" applyFont="1" applyBorder="1" applyAlignment="1" applyProtection="0">
      <x:alignment horizontal="general" vertical="top" wrapText="1" shrinkToFit="0"/>
      <x:protection locked="1" hidden="0"/>
    </x:xf>
    <x:xf numFmtId="165" fontId="1" fillId="0" borderId="1" xfId="0" applyFont="1" applyBorder="1" applyAlignment="0" applyProtection="0">
      <x:alignment horizontal="general" vertical="bottom" wrapText="0" shrinkToFit="0"/>
      <x:protection locked="1" hidden="0"/>
    </x:xf>
    <x:xf numFmtId="166" fontId="1" fillId="0" borderId="1" xfId="0" applyNumberFormat="1" applyFont="1" applyFill="1" applyBorder="1" applyAlignment="1">
      <x:alignment horizontal="general" vertical="bottom" wrapText="0"/>
    </x:xf>
    <x:xf numFmtId="164" fontId="0" fillId="6" borderId="0" xfId="0" applyNumberFormat="1" applyFont="1" applyFill="1" applyBorder="1" applyAlignment="1">
      <x:alignment horizontal="general" vertical="bottom" wrapText="0"/>
    </x:xf>
    <x:xf numFmtId="164" fontId="11" fillId="6" borderId="0" xfId="0" applyNumberFormat="1" applyFont="1" applyFill="1" applyBorder="1" applyAlignment="1">
      <x:alignment horizontal="general" vertical="bottom" wrapText="0"/>
    </x:xf>
    <x:xf numFmtId="164" fontId="11" fillId="6" borderId="0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164" fontId="12" fillId="0" borderId="0" xfId="0" applyNumberFormat="1" applyFont="1" applyFill="1" applyBorder="1" applyAlignment="1">
      <x:alignment horizontal="general" vertical="bottom" wrapText="1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2CC"/>
      <x:rgbColor rgb="FFEDEDED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E2EFDA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1F3864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f40f96a0164bd5" /><Relationship Type="http://schemas.openxmlformats.org/officeDocument/2006/relationships/theme" Target="/xl/theme/theme1.xml" Id="R6a0cb2f5928d4ffe" /><Relationship Type="http://schemas.openxmlformats.org/officeDocument/2006/relationships/sharedStrings" Target="/xl/sharedStrings.xml" Id="R9e37f806983f4660" /><Relationship Type="http://schemas.openxmlformats.org/officeDocument/2006/relationships/worksheet" Target="/xl/worksheets/sheet1.xml" Id="Rc3a47730886e4300" /><Relationship Type="http://schemas.openxmlformats.org/officeDocument/2006/relationships/worksheet" Target="/xl/worksheets/sheet2.xml" Id="R7104b3556c95466d" /><Relationship Type="http://schemas.openxmlformats.org/officeDocument/2006/relationships/worksheet" Target="/xl/worksheets/sheet3.xml" Id="Raeb083b3ae624080" /><Relationship Type="http://schemas.openxmlformats.org/officeDocument/2006/relationships/worksheet" Target="/xl/worksheets/sheet4.xml" Id="Ra4ee94b95517403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40" hidden="0" customWidth="1"/>
    <x:col min="2" max="2" width="14" hidden="0" customWidth="1"/>
    <x:col min="3" max="3" width="52" hidden="0" customWidth="1"/>
    <x:col min="4" max="4" width="16" hidden="0" customWidth="1"/>
    <x:col min="5" max="5" width="44" hidden="0" customWidth="1"/>
    <x:col min="6" max="6" width="16" hidden="0" customWidth="1"/>
  </x:cols>
  <x:sheetData>
    <x:row r="1" ht="17.350000381469727" hidden="0">
      <x:c r="A1" s="1" t="s">
        <x:v>0</x:v>
      </x:c>
    </x:row>
    <x:row r="2" ht="15" hidden="0">
      <x:c r="A2" s="2" t="s">
        <x:v>1</x:v>
      </x:c>
    </x:row>
    <x:row r="4" ht="23.850000381469727" hidden="0">
      <x:c r="A4" s="3" t="s">
        <x:v>2</x:v>
      </x:c>
      <x:c r="B4" s="3" t="s">
        <x:v>3</x:v>
      </x:c>
      <x:c r="C4" s="3" t="s">
        <x:v>4</x:v>
      </x:c>
      <x:c r="D4" s="3" t="s">
        <x:v>5</x:v>
      </x:c>
    </x:row>
    <x:row r="5" ht="86" hidden="0" customHeight="1">
      <x:c r="A5" s="4" t="s">
        <x:v>6</x:v>
      </x:c>
      <x:c r="B5" s="5" t="n">
        <x:v>1230</x:v>
      </x:c>
      <x:c r="C5" s="25" t="str">
        <x:v>D.S. 015-2026-TR, art. 1.2. Vigente desde 01/10/2026. https://busquedas.elperuano.pe/dispositivo/EX/2559163-1</x:v>
      </x:c>
      <x:c r="D5" s="4" t="str">
        <x:v>28/10/2026</x:v>
      </x:c>
    </x:row>
    <x:row r="6" ht="86" hidden="0" customHeight="1">
      <x:c r="A6" s="4" t="s">
        <x:v>7</x:v>
      </x:c>
      <x:c r="B6" s="7" t="n">
        <x:v>0.1</x:v>
      </x:c>
      <x:c r="C6" s="25" t="str">
        <x:v>Ley 25129. MTPE: https://cdn.www.gob.pe/uploads/document/file/2899623/guia_asignacion_familiar.pdf</x:v>
      </x:c>
      <x:c r="D6" s="4" t="str">
        <x:v>28/10/2026</x:v>
      </x:c>
    </x:row>
    <x:row r="7" ht="27.75" hidden="0" customHeight="1">
      <x:c r="A7" s="4" t="s">
        <x:v>8</x:v>
      </x:c>
      <x:c r="B7" s="8" t="n">
        <x:f aca="0">B5*B6</x:f>
        <x:v>123</x:v>
      </x:c>
      <x:c r="C7" s="25" t="s">
        <x:v>9</x:v>
      </x:c>
      <x:c r="D7" s="4" t="s">
        <x:v>10</x:v>
      </x:c>
    </x:row>
    <x:row r="8" ht="86" hidden="0" customHeight="1">
      <x:c r="A8" s="4" t="s">
        <x:v>11</x:v>
      </x:c>
      <x:c r="B8" s="7" t="n">
        <x:v>0.13</x:v>
      </x:c>
      <x:c r="C8" s="25" t="str">
        <x:v>ONP 13%. SUNAT: https://www.gob.pe/8076-declarar-y-pagar-aportes-de-trabajadores-del-hogar</x:v>
      </x:c>
      <x:c r="D8" s="4" t="str">
        <x:v>28/10/2026</x:v>
      </x:c>
    </x:row>
    <x:row r="9" ht="86" hidden="0" customHeight="1">
      <x:c r="A9" s="4" t="s">
        <x:v>12</x:v>
      </x:c>
      <x:c r="B9" s="7" t="n">
        <x:v>0.09</x:v>
      </x:c>
      <x:c r="C9" s="25" t="str">
        <x:v>Ley 26790, EsSalud 9%: https://www.gob.pe/218-seguro-social-de-salud-aportes</x:v>
      </x:c>
      <x:c r="D9" s="4" t="str">
        <x:v>28/10/2026</x:v>
      </x:c>
    </x:row>
    <x:row r="10" ht="86" hidden="0" customHeight="1">
      <x:c r="A10" s="4" t="s">
        <x:v>13</x:v>
      </x:c>
      <x:c r="B10" s="7" t="n">
        <x:v>0.25</x:v>
      </x:c>
      <x:c r="C10" s="25" t="str">
        <x:v>D.S. 007-2002-TR, art. 10. SUNAT: https://orientacion.sunat.gob.pe/6722-10-conceptos-afectos-a-onp</x:v>
      </x:c>
      <x:c r="D10" s="4" t="str">
        <x:v>28/10/2026</x:v>
      </x:c>
    </x:row>
    <x:row r="11" ht="86" hidden="0" customHeight="1">
      <x:c r="A11" s="4" t="s">
        <x:v>14</x:v>
      </x:c>
      <x:c r="B11" s="7" t="n">
        <x:v>0.35</x:v>
      </x:c>
      <x:c r="C11" s="25" t="str">
        <x:v>D.S. 007-2002-TR, art. 10. SUNAT: https://orientacion.sunat.gob.pe/6722-10-conceptos-afectos-a-onp</x:v>
      </x:c>
      <x:c r="D11" s="4" t="str">
        <x:v>28/10/2026</x:v>
      </x:c>
    </x:row>
    <x:row r="12" ht="27.75" hidden="0" customHeight="1">
      <x:c r="A12" s="4" t="s">
        <x:v>15</x:v>
      </x:c>
      <x:c r="B12" s="9" t="n">
        <x:v>30</x:v>
      </x:c>
      <x:c r="C12" s="25" t="s">
        <x:v>16</x:v>
      </x:c>
      <x:c r="D12" s="4" t="s">
        <x:v>17</x:v>
      </x:c>
    </x:row>
    <x:row r="13" ht="27.75" hidden="0" customHeight="1">
      <x:c r="A13" s="4" t="s">
        <x:v>18</x:v>
      </x:c>
      <x:c r="B13" s="9" t="n">
        <x:v>8</x:v>
      </x:c>
      <x:c r="C13" s="25" t="s">
        <x:v>19</x:v>
      </x:c>
      <x:c r="D13" s="4" t="s">
        <x:v>17</x:v>
      </x:c>
    </x:row>
    <x:row r="16" ht="15" hidden="0">
      <x:c r="A16" s="10" t="s">
        <x:v>20</x:v>
      </x:c>
    </x:row>
    <x:row r="17" ht="23.850000381469727" hidden="0">
      <x:c r="A17" s="3" t="s">
        <x:v>21</x:v>
      </x:c>
      <x:c r="B17" s="3" t="s">
        <x:v>22</x:v>
      </x:c>
      <x:c r="C17" s="3" t="s">
        <x:v>23</x:v>
      </x:c>
      <x:c r="D17" s="3" t="s">
        <x:v>24</x:v>
      </x:c>
      <x:c r="E17" s="3" t="s">
        <x:v>4</x:v>
      </x:c>
      <x:c r="F17" s="3" t="s">
        <x:v>5</x:v>
      </x:c>
    </x:row>
    <x:row r="18" ht="15" hidden="0">
      <x:c r="A18" s="11" t="s">
        <x:v>25</x:v>
      </x:c>
      <x:c r="B18" s="7" t="n">
        <x:v>0.1</x:v>
      </x:c>
      <x:c r="C18" s="7" t="n">
        <x:v>0.016</x:v>
      </x:c>
      <x:c r="D18" s="7" t="n">
        <x:v>0.0135</x:v>
      </x:c>
      <x:c r="E18" s="6" t="s">
        <x:v>26</x:v>
      </x:c>
      <x:c r="F18" s="4" t="s">
        <x:v>17</x:v>
      </x:c>
    </x:row>
    <x:row r="19" ht="66" hidden="0" customHeight="1">
      <x:c r="A19" s="26" t="s">
        <x:v>27</x:v>
      </x:c>
      <x:c r="B19" s="27" t="n">
        <x:v>0.1</x:v>
      </x:c>
      <x:c r="C19" s="27" t="n">
        <x:v>0.0147</x:v>
      </x:c>
      <x:c r="D19" s="27" t="n">
        <x:v>0.0137</x:v>
      </x:c>
      <x:c r="E19" s="28" t="str">
        <x:v>SBS, devengue 2026-10; comisión sobre flujo. https://www.sbs.gob.pe/app/spp/empleadores/comisiones_spp/paginas/comision_prima.aspx</x:v>
      </x:c>
      <x:c r="F19" s="29" t="str">
        <x:v>28/10/2026</x:v>
      </x:c>
    </x:row>
    <x:row r="20" ht="66" hidden="0" customHeight="1">
      <x:c r="A20" s="26" t="s">
        <x:v>28</x:v>
      </x:c>
      <x:c r="B20" s="27" t="n">
        <x:v>0.1</x:v>
      </x:c>
      <x:c r="C20" s="27" t="n">
        <x:v>0.0155</x:v>
      </x:c>
      <x:c r="D20" s="27" t="n">
        <x:v>0.0137</x:v>
      </x:c>
      <x:c r="E20" s="28" t="str">
        <x:v>SBS, devengue 2026-10; comisión sobre flujo. https://www.sbs.gob.pe/app/spp/empleadores/comisiones_spp/paginas/comision_prima.aspx</x:v>
      </x:c>
      <x:c r="F20" s="29" t="str">
        <x:v>28/10/2026</x:v>
      </x:c>
    </x:row>
    <x:row r="21" ht="66" hidden="0" customHeight="1">
      <x:c r="A21" s="26" t="s">
        <x:v>29</x:v>
      </x:c>
      <x:c r="B21" s="27" t="n">
        <x:v>0.1</x:v>
      </x:c>
      <x:c r="C21" s="27" t="n">
        <x:v>0.016</x:v>
      </x:c>
      <x:c r="D21" s="27" t="n">
        <x:v>0.0137</x:v>
      </x:c>
      <x:c r="E21" s="28" t="str">
        <x:v>SBS, devengue 2026-10; comisión sobre flujo. https://www.sbs.gob.pe/app/spp/empleadores/comisiones_spp/paginas/comision_prima.aspx</x:v>
      </x:c>
      <x:c r="F21" s="29" t="str">
        <x:v>28/10/2026</x:v>
      </x:c>
    </x:row>
    <x:row r="22" ht="66" hidden="0" customHeight="1">
      <x:c r="A22" s="26" t="s">
        <x:v>30</x:v>
      </x:c>
      <x:c r="B22" s="27" t="n">
        <x:v>0.1</x:v>
      </x:c>
      <x:c r="C22" s="27" t="n">
        <x:v>0.0169</x:v>
      </x:c>
      <x:c r="D22" s="27" t="n">
        <x:v>0.0137</x:v>
      </x:c>
      <x:c r="E22" s="28" t="str">
        <x:v>SBS, devengue 2026-10; comisión sobre flujo. https://www.sbs.gob.pe/app/spp/empleadores/comisiones_spp/paginas/comision_prima.aspx</x:v>
      </x:c>
      <x:c r="F22" s="29" t="str">
        <x:v>28/10/2026</x:v>
      </x:c>
    </x:row>
    <x:row r="23" ht="42" hidden="0" customHeight="1">
      <x:c r="A23" s="12" t="str">
        <x:v>AFP: comisión sobre flujo. Se siguen las simplificaciones de la guía (sin comisión sobre saldo ni topes de seguro). Detalles y fuentes: FUENTES.md.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52" hidden="0" customWidth="1"/>
    <x:col min="2" max="2" width="18" hidden="0" customWidth="1"/>
    <x:col min="4" max="4" width="100" hidden="0" customWidth="1"/>
    <x:col min="3" max="3" width="3" hidden="0" customWidth="1"/>
  </x:cols>
  <x:sheetData>
    <x:row r="1" ht="17.350000381469727" hidden="0">
      <x:c r="A1" s="1" t="s">
        <x:v>31</x:v>
      </x:c>
    </x:row>
    <x:row r="2" ht="15" hidden="0">
      <x:c r="A2" s="2" t="s">
        <x:v>32</x:v>
      </x:c>
    </x:row>
    <x:row r="4" ht="15" hidden="0">
      <x:c r="A4" s="10" t="s">
        <x:v>33</x:v>
      </x:c>
    </x:row>
    <x:row r="5" ht="15" hidden="0">
      <x:c r="A5" s="4" t="s">
        <x:v>34</x:v>
      </x:c>
      <x:c r="B5" s="13" t="n">
        <x:v>3000</x:v>
      </x:c>
    </x:row>
    <x:row r="6" ht="15" hidden="0">
      <x:c r="A6" s="4" t="s">
        <x:v>35</x:v>
      </x:c>
      <x:c r="B6" s="14" t="n">
        <x:v>30</x:v>
      </x:c>
    </x:row>
    <x:row r="7" ht="15" hidden="0">
      <x:c r="A7" s="4" t="s">
        <x:v>36</x:v>
      </x:c>
      <x:c r="B7" s="15" t="s">
        <x:v>37</x:v>
      </x:c>
    </x:row>
    <x:row r="8" ht="15" hidden="0">
      <x:c r="A8" s="4" t="s">
        <x:v>38</x:v>
      </x:c>
      <x:c r="B8" s="15" t="s">
        <x:v>21</x:v>
      </x:c>
    </x:row>
    <x:row r="9" ht="15" hidden="0">
      <x:c r="A9" s="4" t="s">
        <x:v>39</x:v>
      </x:c>
      <x:c r="B9" s="15" t="s">
        <x:v>25</x:v>
      </x:c>
    </x:row>
    <x:row r="10" ht="15" hidden="0">
      <x:c r="A10" s="4" t="s">
        <x:v>40</x:v>
      </x:c>
      <x:c r="B10" s="16" t="n">
        <x:v>4</x:v>
      </x:c>
    </x:row>
    <x:row r="11" ht="15" hidden="0">
      <x:c r="A11" s="4" t="s">
        <x:v>41</x:v>
      </x:c>
      <x:c r="B11" s="16" t="n">
        <x:v>4</x:v>
      </x:c>
    </x:row>
    <x:row r="12" ht="15" hidden="0">
      <x:c r="A12" s="4" t="s">
        <x:v>42</x:v>
      </x:c>
      <x:c r="B12" s="13" t="n">
        <x:v>200</x:v>
      </x:c>
    </x:row>
    <x:row r="14" ht="15" hidden="0">
      <x:c r="A14" s="10" t="s">
        <x:v>43</x:v>
      </x:c>
    </x:row>
    <x:row r="15" ht="15" hidden="0">
      <x:c r="A15" s="3" t="s">
        <x:v>44</x:v>
      </x:c>
      <x:c r="B15" s="3" t="s">
        <x:v>45</x:v>
      </x:c>
      <x:c r="D15" s="35" t="str">
        <x:v>Fórmula usada en Excel</x:v>
      </x:c>
    </x:row>
    <x:row r="16" ht="34" hidden="0" customHeight="1">
      <x:c r="A16" s="4" t="s">
        <x:v>46</x:v>
      </x:c>
      <x:c r="B16" s="17" t="n">
        <x:f aca="0">B5/Parámetros!B12/Parámetros!B13</x:f>
        <x:v>12.5</x:v>
      </x:c>
      <x:c r="D16" s="37" t="str">
        <x:v>=B5/Parámetros!B12/Parámetros!B13</x:v>
      </x:c>
    </x:row>
    <x:row r="17" ht="34" hidden="0" customHeight="1">
      <x:c r="A17" s="4" t="s">
        <x:v>47</x:v>
      </x:c>
      <x:c r="B17" s="8" t="n">
        <x:f aca="0">ROUND(B5/Parámetros!B12*B6,2)</x:f>
        <x:v>3000</x:v>
      </x:c>
      <x:c r="D17" s="37" t="str">
        <x:v>=ROUND(B5/Parámetros!B12*B6,2)</x:v>
      </x:c>
    </x:row>
    <x:row r="18" ht="34" hidden="0" customHeight="1">
      <x:c r="A18" s="4" t="s">
        <x:v>48</x:v>
      </x:c>
      <x:c r="B18" s="8" t="n">
        <x:f aca="0">IF(B7="Sí",ROUND(Parámetros!B7,2),0)</x:f>
        <x:v>123</x:v>
      </x:c>
      <x:c r="D18" s="37" t="str">
        <x:v>=IF(B7="Sí",ROUND(Parámetros!B7,2),0)</x:v>
      </x:c>
    </x:row>
    <x:row r="19" ht="34" hidden="0" customHeight="1">
      <x:c r="A19" s="4" t="s">
        <x:v>49</x:v>
      </x:c>
      <x:c r="B19" s="8" t="n">
        <x:f aca="0">ROUND(B16*(1+Parámetros!B10)*B10,2)</x:f>
        <x:v>62.5</x:v>
      </x:c>
      <x:c r="D19" s="37" t="str">
        <x:v>=ROUND(B16*(1+Parámetros!B10)*B10,2)</x:v>
      </x:c>
    </x:row>
    <x:row r="20" ht="34" hidden="0" customHeight="1">
      <x:c r="A20" s="4" t="s">
        <x:v>50</x:v>
      </x:c>
      <x:c r="B20" s="8" t="n">
        <x:f aca="0">ROUND(B16*(1+Parámetros!B11)*B11,2)</x:f>
        <x:v>67.5</x:v>
      </x:c>
      <x:c r="D20" s="37" t="str">
        <x:v>=ROUND(B16*(1+Parámetros!B11)*B11,2)</x:v>
      </x:c>
    </x:row>
    <x:row r="21" ht="34" hidden="0" customHeight="1">
      <x:c r="A21" s="18" t="s">
        <x:v>51</x:v>
      </x:c>
      <x:c r="B21" s="19" t="n">
        <x:f aca="0">SUM(B17:B20)</x:f>
        <x:v>3253</x:v>
      </x:c>
      <x:c r="D21" s="37" t="str">
        <x:v>=SUM(B17:B20)</x:v>
      </x:c>
    </x:row>
    <x:row r="22">
      <x:c r="D22" s="36"/>
    </x:row>
    <x:row r="23" ht="15" hidden="0">
      <x:c r="A23" s="3" t="s">
        <x:v>52</x:v>
      </x:c>
      <x:c r="B23" s="3" t="s">
        <x:v>45</x:v>
      </x:c>
      <x:c r="D23" s="36"/>
    </x:row>
    <x:row r="24" ht="34" hidden="0" customHeight="1">
      <x:c r="A24" s="4" t="s">
        <x:v>53</x:v>
      </x:c>
      <x:c r="B24" s="8" t="n">
        <x:f aca="0">IF(B8="ONP",ROUND(B21*Parámetros!B8,2),0)</x:f>
        <x:v>0</x:v>
      </x:c>
      <x:c r="D24" s="37" t="str">
        <x:v>=IF(B8="ONP",ROUND(B21*Parámetros!B8,2),0)</x:v>
      </x:c>
    </x:row>
    <x:row r="25" ht="34" hidden="0" customHeight="1">
      <x:c r="A25" s="4" t="s">
        <x:v>54</x:v>
      </x:c>
      <x:c r="B25" s="8" t="n">
        <x:f aca="0">IF(B8="AFP",ROUND(B21*INDEX(Parámetros!$B$18:$B$22,MATCH(B9,Parámetros!$A$18:$A$22,0)),2),0)</x:f>
        <x:v>325.3</x:v>
      </x:c>
      <x:c r="D25" s="37" t="str">
        <x:v>=IF(B8="AFP",ROUND(B21*INDEX(Parámetros!$B$18:$B$22,MATCH(B9,Parámetros!$A$18:$A$22,0)),2),0)</x:v>
      </x:c>
    </x:row>
    <x:row r="26" ht="34" hidden="0" customHeight="1">
      <x:c r="A26" s="4" t="s">
        <x:v>55</x:v>
      </x:c>
      <x:c r="B26" s="8" t="n">
        <x:f aca="0">IF(B8="AFP",ROUND(B21*INDEX(Parámetros!$C$18:$C$22,MATCH(B9,Parámetros!$A$18:$A$22,0)),2),0)</x:f>
        <x:v>52.05</x:v>
      </x:c>
      <x:c r="D26" s="37" t="str">
        <x:v>=IF(B8="AFP",ROUND(B21*INDEX(Parámetros!$C$18:$C$22,MATCH(B9,Parámetros!$A$18:$A$22,0)),2),0)</x:v>
      </x:c>
    </x:row>
    <x:row r="27" ht="34" hidden="0" customHeight="1">
      <x:c r="A27" s="4" t="s">
        <x:v>56</x:v>
      </x:c>
      <x:c r="B27" s="8" t="n">
        <x:f aca="0">IF(B8="AFP",ROUND(B21*INDEX(Parámetros!$D$18:$D$22,MATCH(B9,Parámetros!$A$18:$A$22,0)),2),0)</x:f>
        <x:v>43.92</x:v>
      </x:c>
      <x:c r="D27" s="37" t="str">
        <x:v>=IF(B8="AFP",ROUND(B21*INDEX(Parámetros!$D$18:$D$22,MATCH(B9,Parámetros!$A$18:$A$22,0)),2),0)</x:v>
      </x:c>
    </x:row>
    <x:row r="28" ht="34" hidden="0" customHeight="1">
      <x:c r="A28" s="4" t="s">
        <x:v>57</x:v>
      </x:c>
      <x:c r="B28" s="8" t="n">
        <x:f aca="0">B12</x:f>
        <x:v>200</x:v>
      </x:c>
      <x:c r="D28" s="37" t="str">
        <x:v>=B12</x:v>
      </x:c>
    </x:row>
    <x:row r="29" ht="34" hidden="0" customHeight="1">
      <x:c r="A29" s="18" t="s">
        <x:v>58</x:v>
      </x:c>
      <x:c r="B29" s="19" t="n">
        <x:f aca="0">SUM(B24:B28)</x:f>
        <x:v>621.27</x:v>
      </x:c>
      <x:c r="D29" s="37" t="str">
        <x:v>=SUM(B24:B28)</x:v>
      </x:c>
    </x:row>
    <x:row r="30">
      <x:c r="D30" s="36"/>
    </x:row>
    <x:row r="31" ht="15" hidden="0">
      <x:c r="A31" s="3" t="s">
        <x:v>59</x:v>
      </x:c>
      <x:c r="B31" s="3" t="s">
        <x:v>45</x:v>
      </x:c>
      <x:c r="D31" s="36"/>
    </x:row>
    <x:row r="32" ht="34" hidden="0" customHeight="1">
      <x:c r="A32" s="4" t="s">
        <x:v>60</x:v>
      </x:c>
      <x:c r="B32" s="8" t="n">
        <x:f aca="0">ROUND(B21*Parámetros!B9,2)</x:f>
        <x:v>292.77</x:v>
      </x:c>
      <x:c r="D32" s="37" t="str">
        <x:v>=ROUND(B21*Parámetros!B9,2)</x:v>
      </x:c>
    </x:row>
    <x:row r="33">
      <x:c r="D33" s="36"/>
    </x:row>
    <x:row r="34" ht="34" hidden="0" customHeight="1">
      <x:c r="A34" s="20" t="s">
        <x:v>61</x:v>
      </x:c>
      <x:c r="B34" s="21" t="n">
        <x:f aca="0">B21-B29</x:f>
        <x:v>2631.73</x:v>
      </x:c>
      <x:c r="D34" s="37" t="str">
        <x:v>=B21-B29</x:v>
      </x:c>
    </x:row>
    <x:row r="35" ht="34" hidden="0" customHeight="1">
      <x:c r="A35" s="4" t="s">
        <x:v>62</x:v>
      </x:c>
      <x:c r="B35" s="8" t="n">
        <x:f aca="0">B21+B32</x:f>
        <x:v>3545.77</x:v>
      </x:c>
      <x:c r="D35" s="37" t="str">
        <x:v>=B21+B32</x:v>
      </x:c>
    </x:row>
    <x:row r="36" ht="34" hidden="0" customHeight="1">
      <x:c r="A36" s="4" t="s">
        <x:v>63</x:v>
      </x:c>
      <x:c r="B36" s="22" t="n">
        <x:f aca="0">B34/B35</x:f>
        <x:v>0.7422167822503998</x:v>
      </x:c>
      <x:c r="D36" s="37" t="str">
        <x:v>=B34/B35</x:v>
      </x:c>
    </x:row>
    <x:row r="38" ht="28" customHeight="1">
      <x:c r="A38" t="str">
        <x:v>Para comparar con la app, ingresa adelantos al centavo. Casos propios pendientes.</x:v>
      </x:c>
    </x:row>
  </x:sheetData>
  <x:mergeCells>
    <x:mergeCell ref="A38:D38"/>
  </x:mergeCells>
  <x:dataValidations count="6">
    <x:dataValidation type="list" errorStyle="stop" operator="between" allowBlank="0" showDropDown="0" showInputMessage="0" showErrorMessage="0" sqref="B7">
      <x:formula1>"Sí,No"</x:formula1>
      <x:formula2>0</x:formula2>
    </x:dataValidation>
    <x:dataValidation type="list" errorStyle="stop" operator="between" allowBlank="0" showDropDown="0" showInputMessage="0" showErrorMessage="0" sqref="B8">
      <x:formula1>"ONP,AFP"</x:formula1>
      <x:formula2>0</x:formula2>
    </x:dataValidation>
    <x:dataValidation type="list" errorStyle="stop" operator="between" allowBlank="1" showDropDown="0" showInputMessage="0" showErrorMessage="0" sqref="B9">
      <x:formula1>Parámetros!$A$18:$A$22</x:formula1>
      <x:formula2>0</x:formula2>
    </x:dataValidation>
    <x:dataValidation type="whole" errorStyle="stop" operator="between" allowBlank="0" showDropDown="0" showInputMessage="0" showErrorMessage="1" errorTitle="Días laborados" error="Escribe un entero entre 1 y 30." sqref="B6">
      <x:formula1>1</x:formula1>
      <x:formula2>30</x:formula2>
    </x:dataValidation>
    <x:dataValidation type="decimal" errorStyle="stop" operator="greaterThan" allowBlank="0" showDropDown="0" showInputMessage="0" showErrorMessage="1" errorTitle="Sueldo" error="El sueldo debe ser mayor que cero." sqref="B5">
      <x:formula1>0</x:formula1>
      <x:formula2>0</x:formula2>
    </x:dataValidation>
    <x:dataValidation type="decimal" errorStyle="stop" operator="greaterThanOrEqual" allowBlank="0" showDropDown="0" showInputMessage="0" showErrorMessage="1" errorTitle="Valor" error="Debe ser mayor o igual a cero." sqref="B10:B12">
      <x:formula1>0</x:formula1>
      <x:formula2>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ColWidth="8.6796875" defaultRowHeight="15"/>
  <x:cols>
    <x:col min="1" max="1" width="32" hidden="0" customWidth="1"/>
    <x:col min="2" max="5" width="12" hidden="0" customWidth="1"/>
    <x:col min="6" max="6" width="14" hidden="0" customWidth="1"/>
    <x:col min="7" max="9" width="12" hidden="0" customWidth="1"/>
    <x:col min="10" max="21" width="14" hidden="0" customWidth="1"/>
    <x:col min="22" max="25" width="16" hidden="0" customWidth="1"/>
  </x:cols>
  <x:sheetData>
    <x:row r="1" ht="17.350000381469727" hidden="0">
      <x:c r="A1" s="1" t="s">
        <x:v>64</x:v>
      </x:c>
    </x:row>
    <x:row r="2" ht="15" hidden="0">
      <x:c r="A2" s="2" t="s">
        <x:v>65</x:v>
      </x:c>
    </x:row>
    <x:row r="5" ht="42" hidden="0" customHeight="1">
      <x:c r="A5" s="3" t="s">
        <x:v>66</x:v>
      </x:c>
      <x:c r="B5" s="3" t="s">
        <x:v>67</x:v>
      </x:c>
      <x:c r="C5" s="3" t="s">
        <x:v>68</x:v>
      </x:c>
      <x:c r="D5" s="3" t="s">
        <x:v>69</x:v>
      </x:c>
      <x:c r="E5" s="3" t="s">
        <x:v>70</x:v>
      </x:c>
      <x:c r="F5" s="3" t="s">
        <x:v>21</x:v>
      </x:c>
      <x:c r="G5" s="3" t="s">
        <x:v>71</x:v>
      </x:c>
      <x:c r="H5" s="3" t="s">
        <x:v>72</x:v>
      </x:c>
      <x:c r="I5" s="3" t="s">
        <x:v>57</x:v>
      </x:c>
      <x:c r="J5" s="3" t="s">
        <x:v>47</x:v>
      </x:c>
      <x:c r="K5" s="3" t="s">
        <x:v>48</x:v>
      </x:c>
      <x:c r="L5" s="3" t="s">
        <x:v>73</x:v>
      </x:c>
      <x:c r="M5" s="3" t="s">
        <x:v>74</x:v>
      </x:c>
      <x:c r="N5" s="3" t="s">
        <x:v>51</x:v>
      </x:c>
      <x:c r="O5" s="3" t="s">
        <x:v>53</x:v>
      </x:c>
      <x:c r="P5" s="3" t="s">
        <x:v>54</x:v>
      </x:c>
      <x:c r="Q5" s="3" t="s">
        <x:v>55</x:v>
      </x:c>
      <x:c r="R5" s="3" t="s">
        <x:v>56</x:v>
      </x:c>
      <x:c r="S5" s="3" t="s">
        <x:v>58</x:v>
      </x:c>
      <x:c r="T5" s="3" t="s">
        <x:v>75</x:v>
      </x:c>
      <x:c r="U5" s="3" t="s">
        <x:v>76</x:v>
      </x:c>
      <x:c r="V5" s="3" t="s">
        <x:v>77</x:v>
      </x:c>
      <x:c r="W5" s="3" t="s">
        <x:v>78</x:v>
      </x:c>
      <x:c r="X5" s="3" t="s">
        <x:v>79</x:v>
      </x:c>
      <x:c r="Y5" s="3" t="s">
        <x:v>80</x:v>
      </x:c>
    </x:row>
    <x:row r="6" ht="15" hidden="0">
      <x:c r="A6" s="18" t="s">
        <x:v>81</x:v>
      </x:c>
      <x:c r="B6" s="5" t="n">
        <x:v>2500</x:v>
      </x:c>
      <x:c r="C6" s="9" t="n">
        <x:v>30</x:v>
      </x:c>
      <x:c r="D6" s="11" t="s">
        <x:v>82</x:v>
      </x:c>
      <x:c r="E6" s="11" t="s">
        <x:v>53</x:v>
      </x:c>
      <x:c r="F6" s="11"/>
      <x:c r="G6" s="23" t="n">
        <x:v>0</x:v>
      </x:c>
      <x:c r="H6" s="23" t="n">
        <x:v>0</x:v>
      </x:c>
      <x:c r="I6" s="5" t="n">
        <x:v>0</x:v>
      </x:c>
      <x:c r="J6" s="8" t="n">
        <x:f aca="0">IF($B6="","",ROUND(B6/Parámetros!$B$12*C6,2))</x:f>
        <x:v>2500</x:v>
      </x:c>
      <x:c r="K6" s="8" t="n">
        <x:f aca="0">IF($B6="","",IF(D6="Sí",ROUND(Parámetros!$B$7,2),0))</x:f>
        <x:v>0</x:v>
      </x:c>
      <x:c r="L6" s="8" t="n">
        <x:f aca="0">IF($B6="","",ROUND(B6/Parámetros!$B$12/Parámetros!$B$13*(1+Parámetros!$B$10)*G6,2))</x:f>
        <x:v>0</x:v>
      </x:c>
      <x:c r="M6" s="8" t="n">
        <x:f aca="0">IF($B6="","",ROUND(B6/Parámetros!$B$12/Parámetros!$B$13*(1+Parámetros!$B$11)*H6,2))</x:f>
        <x:v>0</x:v>
      </x:c>
      <x:c r="N6" s="8" t="n">
        <x:f aca="0">IF($B6="","",SUM(J6:M6))</x:f>
        <x:v>2500</x:v>
      </x:c>
      <x:c r="O6" s="8" t="n">
        <x:f aca="0">IF($B6="","",IF(E6="ONP",ROUND(N6*Parámetros!$B$8,2),0))</x:f>
        <x:v>325</x:v>
      </x:c>
      <x:c r="P6" s="8" t="n">
        <x:f aca="0">IF($B6="","",IF(E6="AFP",ROUND(N6*INDEX(Parámetros!$B$18:$B$22,MATCH(F6,Parámetros!$A$18:$A$22,0)),2),0))</x:f>
        <x:v>0</x:v>
      </x:c>
      <x:c r="Q6" s="8" t="n">
        <x:f aca="0">IF($B6="","",IF(E6="AFP",ROUND(N6*INDEX(Parámetros!$C$18:$C$22,MATCH(F6,Parámetros!$A$18:$A$22,0)),2),0))</x:f>
        <x:v>0</x:v>
      </x:c>
      <x:c r="R6" s="8" t="n">
        <x:f aca="0">IF($B6="","",IF(E6="AFP",ROUND(N6*INDEX(Parámetros!$D$18:$D$22,MATCH(F6,Parámetros!$A$18:$A$22,0)),2),0))</x:f>
        <x:v>0</x:v>
      </x:c>
      <x:c r="S6" s="8" t="n">
        <x:f aca="0">IF($B6="","",SUM(O6:R6)+I6)</x:f>
        <x:v>325</x:v>
      </x:c>
      <x:c r="T6" s="19" t="n">
        <x:f aca="0">IF($B6="","",N6-S6)</x:f>
        <x:v>2175</x:v>
      </x:c>
      <x:c r="U6" s="8" t="n">
        <x:f aca="0">IF($B6="","",ROUND(N6*Parámetros!$B$9,2))</x:f>
        <x:v>225</x:v>
      </x:c>
      <x:c r="V6" s="5" t="n">
        <x:v>2175</x:v>
      </x:c>
      <x:c r="W6" s="4" t="str">
        <x:f aca="0">IF(V6="","sin dato en la guía",IF(ROUND(T6-V6,2)=0,"Sí","NO"))</x:f>
        <x:v>Sí</x:v>
      </x:c>
      <x:c r="X6" s="13" t="n">
        <x:v>2175</x:v>
      </x:c>
      <x:c r="Y6" s="8" t="n">
        <x:f aca="0">IF(X6="","",ROUND(X6-T6,2))</x:f>
        <x:v>0</x:v>
      </x:c>
    </x:row>
    <x:row r="7" ht="15" hidden="0">
      <x:c r="A7" s="18" t="s">
        <x:v>83</x:v>
      </x:c>
      <x:c r="B7" s="5" t="n">
        <x:v>1800</x:v>
      </x:c>
      <x:c r="C7" s="9" t="n">
        <x:v>27</x:v>
      </x:c>
      <x:c r="D7" s="11" t="s">
        <x:v>37</x:v>
      </x:c>
      <x:c r="E7" s="11" t="s">
        <x:v>53</x:v>
      </x:c>
      <x:c r="F7" s="11"/>
      <x:c r="G7" s="23" t="n">
        <x:v>0</x:v>
      </x:c>
      <x:c r="H7" s="23" t="n">
        <x:v>0</x:v>
      </x:c>
      <x:c r="I7" s="5" t="n">
        <x:v>0</x:v>
      </x:c>
      <x:c r="J7" s="8" t="n">
        <x:f aca="0">IF($B7="","",ROUND(B7/Parámetros!$B$12*C7,2))</x:f>
        <x:v>1620</x:v>
      </x:c>
      <x:c r="K7" s="8" t="n">
        <x:f aca="0">IF($B7="","",IF(D7="Sí",ROUND(Parámetros!$B$7,2),0))</x:f>
        <x:v>123</x:v>
      </x:c>
      <x:c r="L7" s="8" t="n">
        <x:f aca="0">IF($B7="","",ROUND(B7/Parámetros!$B$12/Parámetros!$B$13*(1+Parámetros!$B$10)*G7,2))</x:f>
        <x:v>0</x:v>
      </x:c>
      <x:c r="M7" s="8" t="n">
        <x:f aca="0">IF($B7="","",ROUND(B7/Parámetros!$B$12/Parámetros!$B$13*(1+Parámetros!$B$11)*H7,2))</x:f>
        <x:v>0</x:v>
      </x:c>
      <x:c r="N7" s="8" t="n">
        <x:f aca="0">IF($B7="","",SUM(J7:M7))</x:f>
        <x:v>1743</x:v>
      </x:c>
      <x:c r="O7" s="8" t="n">
        <x:f aca="0">IF($B7="","",IF(E7="ONP",ROUND(N7*Parámetros!$B$8,2),0))</x:f>
        <x:v>226.59</x:v>
      </x:c>
      <x:c r="P7" s="8" t="n">
        <x:f aca="0">IF($B7="","",IF(E7="AFP",ROUND(N7*INDEX(Parámetros!$B$18:$B$22,MATCH(F7,Parámetros!$A$18:$A$22,0)),2),0))</x:f>
        <x:v>0</x:v>
      </x:c>
      <x:c r="Q7" s="8" t="n">
        <x:f aca="0">IF($B7="","",IF(E7="AFP",ROUND(N7*INDEX(Parámetros!$C$18:$C$22,MATCH(F7,Parámetros!$A$18:$A$22,0)),2),0))</x:f>
        <x:v>0</x:v>
      </x:c>
      <x:c r="R7" s="8" t="n">
        <x:f aca="0">IF($B7="","",IF(E7="AFP",ROUND(N7*INDEX(Parámetros!$D$18:$D$22,MATCH(F7,Parámetros!$A$18:$A$22,0)),2),0))</x:f>
        <x:v>0</x:v>
      </x:c>
      <x:c r="S7" s="8" t="n">
        <x:f aca="0">IF($B7="","",SUM(O7:R7)+I7)</x:f>
        <x:v>226.59</x:v>
      </x:c>
      <x:c r="T7" s="19" t="n">
        <x:f aca="0">IF($B7="","",N7-S7)</x:f>
        <x:v>1516.41</x:v>
      </x:c>
      <x:c r="U7" s="8" t="n">
        <x:f aca="0">IF($B7="","",ROUND(N7*Parámetros!$B$9,2))</x:f>
        <x:v>156.87</x:v>
      </x:c>
      <x:c r="V7" s="5" t="n">
        <x:v>1516.41</x:v>
      </x:c>
      <x:c r="W7" s="4" t="str">
        <x:f aca="0">IF(V7="","sin dato en la guía",IF(ROUND(T7-V7,2)=0,"Sí","NO"))</x:f>
        <x:v>Sí</x:v>
      </x:c>
      <x:c r="X7" s="13" t="n">
        <x:v>1516.41</x:v>
      </x:c>
      <x:c r="Y7" s="8" t="n">
        <x:f aca="0">IF(X7="","",ROUND(X7-T7,2))</x:f>
        <x:v>0</x:v>
      </x:c>
    </x:row>
    <x:row r="8" ht="15" hidden="0">
      <x:c r="A8" s="18" t="s">
        <x:v>84</x:v>
      </x:c>
      <x:c r="B8" s="5" t="n">
        <x:v>3000</x:v>
      </x:c>
      <x:c r="C8" s="9" t="n">
        <x:v>30</x:v>
      </x:c>
      <x:c r="D8" s="11" t="s">
        <x:v>37</x:v>
      </x:c>
      <x:c r="E8" s="11" t="s">
        <x:v>21</x:v>
      </x:c>
      <x:c r="F8" s="11" t="s">
        <x:v>25</x:v>
      </x:c>
      <x:c r="G8" s="23" t="n">
        <x:v>4</x:v>
      </x:c>
      <x:c r="H8" s="23" t="n">
        <x:v>4</x:v>
      </x:c>
      <x:c r="I8" s="5" t="n">
        <x:v>200</x:v>
      </x:c>
      <x:c r="J8" s="8" t="n">
        <x:f aca="0">IF($B8="","",ROUND(B8/Parámetros!$B$12*C8,2))</x:f>
        <x:v>3000</x:v>
      </x:c>
      <x:c r="K8" s="8" t="n">
        <x:f aca="0">IF($B8="","",IF(D8="Sí",ROUND(Parámetros!$B$7,2),0))</x:f>
        <x:v>123</x:v>
      </x:c>
      <x:c r="L8" s="8" t="n">
        <x:f aca="0">IF($B8="","",ROUND(B8/Parámetros!$B$12/Parámetros!$B$13*(1+Parámetros!$B$10)*G8,2))</x:f>
        <x:v>62.5</x:v>
      </x:c>
      <x:c r="M8" s="8" t="n">
        <x:f aca="0">IF($B8="","",ROUND(B8/Parámetros!$B$12/Parámetros!$B$13*(1+Parámetros!$B$11)*H8,2))</x:f>
        <x:v>67.5</x:v>
      </x:c>
      <x:c r="N8" s="8" t="n">
        <x:f aca="0">IF($B8="","",SUM(J8:M8))</x:f>
        <x:v>3253</x:v>
      </x:c>
      <x:c r="O8" s="8" t="n">
        <x:f aca="0">IF($B8="","",IF(E8="ONP",ROUND(N8*Parámetros!$B$8,2),0))</x:f>
        <x:v>0</x:v>
      </x:c>
      <x:c r="P8" s="8" t="n">
        <x:f aca="0">IF($B8="","",IF(E8="AFP",ROUND(N8*INDEX(Parámetros!$B$18:$B$22,MATCH(F8,Parámetros!$A$18:$A$22,0)),2),0))</x:f>
        <x:v>325.3</x:v>
      </x:c>
      <x:c r="Q8" s="8" t="n">
        <x:f aca="0">IF($B8="","",IF(E8="AFP",ROUND(N8*INDEX(Parámetros!$C$18:$C$22,MATCH(F8,Parámetros!$A$18:$A$22,0)),2),0))</x:f>
        <x:v>52.05</x:v>
      </x:c>
      <x:c r="R8" s="8" t="n">
        <x:f aca="0">IF($B8="","",IF(E8="AFP",ROUND(N8*INDEX(Parámetros!$D$18:$D$22,MATCH(F8,Parámetros!$A$18:$A$22,0)),2),0))</x:f>
        <x:v>43.92</x:v>
      </x:c>
      <x:c r="S8" s="8" t="n">
        <x:f aca="0">IF($B8="","",SUM(O8:R8)+I8)</x:f>
        <x:v>621.27</x:v>
      </x:c>
      <x:c r="T8" s="19" t="n">
        <x:f aca="0">IF($B8="","",N8-S8)</x:f>
        <x:v>2631.73</x:v>
      </x:c>
      <x:c r="U8" s="8" t="n">
        <x:f aca="0">IF($B8="","",ROUND(N8*Parámetros!$B$9,2))</x:f>
        <x:v>292.77</x:v>
      </x:c>
      <x:c r="V8" s="5" t="n">
        <x:v>2631.73</x:v>
      </x:c>
      <x:c r="W8" s="4" t="str">
        <x:f aca="0">IF(V8="","sin dato en la guía",IF(ROUND(T8-V8,2)=0,"Sí","NO"))</x:f>
        <x:v>Sí</x:v>
      </x:c>
      <x:c r="X8" s="13" t="n">
        <x:v>2631.73</x:v>
      </x:c>
      <x:c r="Y8" s="8" t="n">
        <x:f aca="0">IF(X8="","",ROUND(X8-T8,2))</x:f>
        <x:v>0</x:v>
      </x:c>
    </x:row>
    <x:row r="9" ht="15" hidden="0">
      <x:c r="A9" s="18" t="s">
        <x:v>85</x:v>
      </x:c>
      <x:c r="B9" s="5" t="n">
        <x:v>4200</x:v>
      </x:c>
      <x:c r="C9" s="9" t="n">
        <x:v>24</x:v>
      </x:c>
      <x:c r="D9" s="11" t="s">
        <x:v>37</x:v>
      </x:c>
      <x:c r="E9" s="11" t="s">
        <x:v>21</x:v>
      </x:c>
      <x:c r="F9" s="11" t="s">
        <x:v>25</x:v>
      </x:c>
      <x:c r="G9" s="23" t="n">
        <x:v>2</x:v>
      </x:c>
      <x:c r="H9" s="23" t="n">
        <x:v>2</x:v>
      </x:c>
      <x:c r="I9" s="5" t="n">
        <x:v>100</x:v>
      </x:c>
      <x:c r="J9" s="8" t="n">
        <x:f aca="0">IF($B9="","",ROUND(B9/Parámetros!$B$12*C9,2))</x:f>
        <x:v>3360</x:v>
      </x:c>
      <x:c r="K9" s="8" t="n">
        <x:f aca="0">IF($B9="","",IF(D9="Sí",ROUND(Parámetros!$B$7,2),0))</x:f>
        <x:v>123</x:v>
      </x:c>
      <x:c r="L9" s="8" t="n">
        <x:f aca="0">IF($B9="","",ROUND(B9/Parámetros!$B$12/Parámetros!$B$13*(1+Parámetros!$B$10)*G9,2))</x:f>
        <x:v>43.75</x:v>
      </x:c>
      <x:c r="M9" s="8" t="n">
        <x:f aca="0">IF($B9="","",ROUND(B9/Parámetros!$B$12/Parámetros!$B$13*(1+Parámetros!$B$11)*H9,2))</x:f>
        <x:v>47.25</x:v>
      </x:c>
      <x:c r="N9" s="8" t="n">
        <x:f aca="0">IF($B9="","",SUM(J9:M9))</x:f>
        <x:v>3574</x:v>
      </x:c>
      <x:c r="O9" s="8" t="n">
        <x:f aca="0">IF($B9="","",IF(E9="ONP",ROUND(N9*Parámetros!$B$8,2),0))</x:f>
        <x:v>0</x:v>
      </x:c>
      <x:c r="P9" s="8" t="n">
        <x:f aca="0">IF($B9="","",IF(E9="AFP",ROUND(N9*INDEX(Parámetros!$B$18:$B$22,MATCH(F9,Parámetros!$A$18:$A$22,0)),2),0))</x:f>
        <x:v>357.4</x:v>
      </x:c>
      <x:c r="Q9" s="8" t="n">
        <x:f aca="0">IF($B9="","",IF(E9="AFP",ROUND(N9*INDEX(Parámetros!$C$18:$C$22,MATCH(F9,Parámetros!$A$18:$A$22,0)),2),0))</x:f>
        <x:v>57.18</x:v>
      </x:c>
      <x:c r="R9" s="8" t="n">
        <x:f aca="0">IF($B9="","",IF(E9="AFP",ROUND(N9*INDEX(Parámetros!$D$18:$D$22,MATCH(F9,Parámetros!$A$18:$A$22,0)),2),0))</x:f>
        <x:v>48.25</x:v>
      </x:c>
      <x:c r="S9" s="8" t="n">
        <x:f aca="0">IF($B9="","",SUM(O9:R9)+I9)</x:f>
        <x:v>562.8299999999999</x:v>
      </x:c>
      <x:c r="T9" s="19" t="n">
        <x:f aca="0">IF($B9="","",N9-S9)</x:f>
        <x:v>3011.17</x:v>
      </x:c>
      <x:c r="U9" s="8" t="n">
        <x:f aca="0">IF($B9="","",ROUND(N9*Parámetros!$B$9,2))</x:f>
        <x:v>321.66</x:v>
      </x:c>
      <x:c r="V9" s="5"/>
      <x:c r="W9" s="4" t="str">
        <x:f aca="0">IF(V9="","sin dato en la guía",IF(ROUND(T9-V9,2)=0,"Sí","NO"))</x:f>
        <x:v>sin dato en la guía</x:v>
      </x:c>
      <x:c r="X9" s="13" t="n">
        <x:v>3011.17</x:v>
      </x:c>
      <x:c r="Y9" s="8" t="n">
        <x:f aca="0">IF(X9="","",ROUND(X9-T9,2))</x:f>
        <x:v>0</x:v>
      </x:c>
    </x:row>
    <x:row r="10" ht="15" hidden="0">
      <x:c r="A10" s="18" t="s">
        <x:v>86</x:v>
      </x:c>
      <x:c r="B10" s="13"/>
      <x:c r="C10" s="14"/>
      <x:c r="D10" s="15"/>
      <x:c r="E10" s="15"/>
      <x:c r="F10" s="15"/>
      <x:c r="G10" s="16"/>
      <x:c r="H10" s="16"/>
      <x:c r="I10" s="13"/>
      <x:c r="J10" s="8" t="str">
        <x:f aca="0">IF($B10="","",ROUND(B10/Parámetros!$B$12*C10,2))</x:f>
      </x:c>
      <x:c r="K10" s="8" t="str">
        <x:f aca="0">IF($B10="","",IF(D10="Sí",ROUND(Parámetros!$B$7,2),0))</x:f>
      </x:c>
      <x:c r="L10" s="8" t="str">
        <x:f aca="0">IF($B10="","",ROUND(B10/Parámetros!$B$12/Parámetros!$B$13*(1+Parámetros!$B$10)*G10,2))</x:f>
      </x:c>
      <x:c r="M10" s="8" t="str">
        <x:f aca="0">IF($B10="","",ROUND(B10/Parámetros!$B$12/Parámetros!$B$13*(1+Parámetros!$B$11)*H10,2))</x:f>
      </x:c>
      <x:c r="N10" s="8" t="str">
        <x:f aca="0">IF($B10="","",SUM(J10:M10))</x:f>
      </x:c>
      <x:c r="O10" s="8" t="str">
        <x:f aca="0">IF($B10="","",IF(E10="ONP",ROUND(N10*Parámetros!$B$8,2),0))</x:f>
      </x:c>
      <x:c r="P10" s="8" t="str">
        <x:f aca="0">IF($B10="","",IF(E10="AFP",ROUND(N10*INDEX(Parámetros!$B$18:$B$22,MATCH(F10,Parámetros!$A$18:$A$22,0)),2),0))</x:f>
      </x:c>
      <x:c r="Q10" s="8" t="str">
        <x:f aca="0">IF($B10="","",IF(E10="AFP",ROUND(N10*INDEX(Parámetros!$C$18:$C$22,MATCH(F10,Parámetros!$A$18:$A$22,0)),2),0))</x:f>
      </x:c>
      <x:c r="R10" s="8" t="str">
        <x:f aca="0">IF($B10="","",IF(E10="AFP",ROUND(N10*INDEX(Parámetros!$D$18:$D$22,MATCH(F10,Parámetros!$A$18:$A$22,0)),2),0))</x:f>
      </x:c>
      <x:c r="S10" s="8" t="str">
        <x:f aca="0">IF($B10="","",SUM(O10:R10)+I10)</x:f>
      </x:c>
      <x:c r="T10" s="19" t="str">
        <x:f aca="0">IF($B10="","",N10-S10)</x:f>
      </x:c>
      <x:c r="U10" s="8" t="str">
        <x:f aca="0">IF($B10="","",ROUND(N10*Parámetros!$B$9,2))</x:f>
      </x:c>
      <x:c r="V10" s="5"/>
      <x:c r="W10" s="4" t="str">
        <x:f aca="0">IF(V10="","sin dato en la guía",IF(ROUND(T10-V10,2)=0,"Sí","NO"))</x:f>
        <x:v>sin dato en la guía</x:v>
      </x:c>
      <x:c r="X10" s="13"/>
      <x:c r="Y10" s="8" t="str">
        <x:f aca="0">IF(X10="","",ROUND(X10-T10,2))</x:f>
      </x:c>
    </x:row>
    <x:row r="12" ht="15" hidden="0">
      <x:c r="A12" s="12" t="s">
        <x:v>87</x:v>
      </x:c>
    </x:row>
    <x:row r="14" ht="28" customHeight="1">
      <x:c r="A14" t="str">
        <x:v>Control cruzado ejecutado el 28/10/2026. Netos comprobados en el simulador iPhone 16 Pro, iOS 18.5. Diferencias en Y6:Y9: cero al centavo.</x:v>
      </x:c>
    </x:row>
    <x:row r="15" ht="28" customHeight="1">
      <x:c r="A15" t="str">
        <x:v>Evidencias y procedencia: evidencias/casos-swift.json, evidencias/simulador.log y PRUEBAS.md. El caso propio permanece pendiente.</x:v>
      </x:c>
    </x:row>
  </x:sheetData>
  <x:mergeCells>
    <x:mergeCell ref="A14:Y14"/>
    <x:mergeCell ref="A15:Y1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4" hidden="0" customWidth="1"/>
    <x:col min="2" max="2" width="52" hidden="0" customWidth="1"/>
    <x:col min="3" max="3" width="44" hidden="0" customWidth="1"/>
    <x:col min="4" max="4" width="38" hidden="0" customWidth="1"/>
    <x:col min="5" max="5" width="18" hidden="0" customWidth="1"/>
  </x:cols>
  <x:sheetData>
    <x:row r="1" ht="17.350000381469727" hidden="0">
      <x:c r="A1" s="1" t="s">
        <x:v>88</x:v>
      </x:c>
    </x:row>
    <x:row r="2" ht="15" hidden="0">
      <x:c r="A2" s="2" t="s">
        <x:v>89</x:v>
      </x:c>
    </x:row>
    <x:row r="4" ht="23.850000381469727" hidden="0">
      <x:c r="A4" s="3" t="s">
        <x:v>90</x:v>
      </x:c>
      <x:c r="B4" s="3" t="s">
        <x:v>91</x:v>
      </x:c>
      <x:c r="C4" s="3" t="s">
        <x:v>92</x:v>
      </x:c>
      <x:c r="D4" s="3" t="s">
        <x:v>93</x:v>
      </x:c>
      <x:c r="E4" s="3" t="str">
        <x:v>Resultado (S/ o %)</x:v>
      </x:c>
    </x:row>
    <x:row r="5" ht="43.5" hidden="0" customHeight="1">
      <x:c r="A5" s="24" t="s">
        <x:v>47</x:v>
      </x:c>
      <x:c r="B5" s="6" t="s">
        <x:v>94</x:v>
      </x:c>
      <x:c r="C5" s="6" t="s">
        <x:v>95</x:v>
      </x:c>
      <x:c r="D5" s="6" t="s">
        <x:v>96</x:v>
      </x:c>
      <x:c r="E5" s="8" t="n">
        <x:f aca="0">Casos!J8</x:f>
        <x:v>3000</x:v>
      </x:c>
    </x:row>
    <x:row r="6" ht="43.5" hidden="0" customHeight="1">
      <x:c r="A6" s="24" t="s">
        <x:v>48</x:v>
      </x:c>
      <x:c r="B6" s="6" t="s">
        <x:v>97</x:v>
      </x:c>
      <x:c r="C6" s="6" t="s">
        <x:v>98</x:v>
      </x:c>
      <x:c r="D6" s="6" t="s">
        <x:v>99</x:v>
      </x:c>
      <x:c r="E6" s="8" t="n">
        <x:f aca="0">Casos!K8</x:f>
        <x:v>123</x:v>
      </x:c>
    </x:row>
    <x:row r="7" ht="43.5" hidden="0" customHeight="1">
      <x:c r="A7" s="24" t="s">
        <x:v>100</x:v>
      </x:c>
      <x:c r="B7" s="6" t="s">
        <x:v>101</x:v>
      </x:c>
      <x:c r="C7" s="6" t="s">
        <x:v>102</x:v>
      </x:c>
      <x:c r="D7" s="6" t="s">
        <x:v>103</x:v>
      </x:c>
      <x:c r="E7" s="8" t="n">
        <x:f aca="0">Casos!B8/'Parámetros'!B12/'Parámetros'!B13</x:f>
        <x:v>12.5</x:v>
      </x:c>
    </x:row>
    <x:row r="8" ht="43.5" hidden="0" customHeight="1">
      <x:c r="A8" s="24" t="s">
        <x:v>40</x:v>
      </x:c>
      <x:c r="B8" s="6" t="s">
        <x:v>104</x:v>
      </x:c>
      <x:c r="C8" s="6" t="s">
        <x:v>105</x:v>
      </x:c>
      <x:c r="D8" s="6" t="s">
        <x:v>106</x:v>
      </x:c>
      <x:c r="E8" s="8" t="n">
        <x:f aca="0">Casos!L8</x:f>
        <x:v>62.5</x:v>
      </x:c>
    </x:row>
    <x:row r="9" ht="43.5" hidden="0" customHeight="1">
      <x:c r="A9" s="24" t="s">
        <x:v>41</x:v>
      </x:c>
      <x:c r="B9" s="6" t="s">
        <x:v>107</x:v>
      </x:c>
      <x:c r="C9" s="6" t="s">
        <x:v>108</x:v>
      </x:c>
      <x:c r="D9" s="6" t="s">
        <x:v>109</x:v>
      </x:c>
      <x:c r="E9" s="8" t="n">
        <x:f aca="0">Casos!M8</x:f>
        <x:v>67.5</x:v>
      </x:c>
    </x:row>
    <x:row r="10" ht="43.5" hidden="0" customHeight="1">
      <x:c r="A10" s="24" t="s">
        <x:v>51</x:v>
      </x:c>
      <x:c r="B10" s="6" t="s">
        <x:v>110</x:v>
      </x:c>
      <x:c r="C10" s="6" t="s">
        <x:v>111</x:v>
      </x:c>
      <x:c r="D10" s="6" t="s">
        <x:v>112</x:v>
      </x:c>
      <x:c r="E10" s="8" t="n">
        <x:f aca="0">Casos!N8</x:f>
        <x:v>3253</x:v>
      </x:c>
    </x:row>
    <x:row r="11" ht="43.5" hidden="0" customHeight="1">
      <x:c r="A11" s="24" t="s">
        <x:v>53</x:v>
      </x:c>
      <x:c r="B11" s="6" t="s">
        <x:v>113</x:v>
      </x:c>
      <x:c r="C11" s="6" t="s">
        <x:v>114</x:v>
      </x:c>
      <x:c r="D11" s="6" t="s">
        <x:v>115</x:v>
      </x:c>
      <x:c r="E11" s="8" t="n">
        <x:f aca="0">Casos!O8</x:f>
        <x:v>0</x:v>
      </x:c>
    </x:row>
    <x:row r="12" ht="43.5" hidden="0" customHeight="1">
      <x:c r="A12" s="24" t="s">
        <x:v>54</x:v>
      </x:c>
      <x:c r="B12" s="6" t="s">
        <x:v>116</x:v>
      </x:c>
      <x:c r="C12" s="6" t="s">
        <x:v>117</x:v>
      </x:c>
      <x:c r="D12" s="6" t="s">
        <x:v>118</x:v>
      </x:c>
      <x:c r="E12" s="8" t="n">
        <x:f aca="0">Casos!P8</x:f>
        <x:v>325.3</x:v>
      </x:c>
    </x:row>
    <x:row r="13" ht="43.5" hidden="0" customHeight="1">
      <x:c r="A13" s="24" t="s">
        <x:v>55</x:v>
      </x:c>
      <x:c r="B13" s="6" t="s">
        <x:v>119</x:v>
      </x:c>
      <x:c r="C13" s="6" t="s">
        <x:v>120</x:v>
      </x:c>
      <x:c r="D13" s="6" t="s">
        <x:v>121</x:v>
      </x:c>
      <x:c r="E13" s="8" t="n">
        <x:f aca="0">Casos!Q8</x:f>
        <x:v>52.05</x:v>
      </x:c>
    </x:row>
    <x:row r="14" ht="43.5" hidden="0" customHeight="1">
      <x:c r="A14" s="24" t="s">
        <x:v>56</x:v>
      </x:c>
      <x:c r="B14" s="6" t="s">
        <x:v>122</x:v>
      </x:c>
      <x:c r="C14" s="6" t="s">
        <x:v>123</x:v>
      </x:c>
      <x:c r="D14" s="6" t="s">
        <x:v>124</x:v>
      </x:c>
      <x:c r="E14" s="8" t="n">
        <x:f aca="0">Casos!R8</x:f>
        <x:v>43.92</x:v>
      </x:c>
    </x:row>
    <x:row r="15" ht="43.5" hidden="0" customHeight="1">
      <x:c r="A15" s="24" t="s">
        <x:v>57</x:v>
      </x:c>
      <x:c r="B15" s="6" t="s">
        <x:v>125</x:v>
      </x:c>
      <x:c r="C15" s="6" t="s">
        <x:v>126</x:v>
      </x:c>
      <x:c r="D15" s="6" t="s">
        <x:v>127</x:v>
      </x:c>
      <x:c r="E15" s="8" t="n">
        <x:f aca="0">Casos!I8</x:f>
        <x:v>200</x:v>
      </x:c>
    </x:row>
    <x:row r="16" ht="43.5" hidden="0" customHeight="1">
      <x:c r="A16" s="24" t="s">
        <x:v>58</x:v>
      </x:c>
      <x:c r="B16" s="6" t="s">
        <x:v>128</x:v>
      </x:c>
      <x:c r="C16" s="6" t="s">
        <x:v>129</x:v>
      </x:c>
      <x:c r="D16" s="6" t="s">
        <x:v>130</x:v>
      </x:c>
      <x:c r="E16" s="8" t="n">
        <x:f aca="0">Casos!S8</x:f>
        <x:v>621.27</x:v>
      </x:c>
    </x:row>
    <x:row r="17" ht="43.5" hidden="0" customHeight="1">
      <x:c r="A17" s="24" t="s">
        <x:v>75</x:v>
      </x:c>
      <x:c r="B17" s="6" t="s">
        <x:v>131</x:v>
      </x:c>
      <x:c r="C17" s="6" t="s">
        <x:v>132</x:v>
      </x:c>
      <x:c r="D17" s="6" t="s">
        <x:v>133</x:v>
      </x:c>
      <x:c r="E17" s="8" t="n">
        <x:f aca="0">Casos!T8</x:f>
        <x:v>2631.73</x:v>
      </x:c>
    </x:row>
    <x:row r="18" ht="43.5" hidden="0" customHeight="1">
      <x:c r="A18" s="24" t="s">
        <x:v>76</x:v>
      </x:c>
      <x:c r="B18" s="6" t="s">
        <x:v>134</x:v>
      </x:c>
      <x:c r="C18" s="6" t="s">
        <x:v>135</x:v>
      </x:c>
      <x:c r="D18" s="6" t="s">
        <x:v>136</x:v>
      </x:c>
      <x:c r="E18" s="8" t="n">
        <x:f aca="0">Casos!U8</x:f>
        <x:v>292.77</x:v>
      </x:c>
    </x:row>
    <x:row r="19" ht="43.5" hidden="0" customHeight="1">
      <x:c r="A19" s="24" t="s">
        <x:v>137</x:v>
      </x:c>
      <x:c r="B19" s="6" t="s">
        <x:v>138</x:v>
      </x:c>
      <x:c r="C19" s="6" t="s">
        <x:v>139</x:v>
      </x:c>
      <x:c r="D19" s="6" t="s">
        <x:v>140</x:v>
      </x:c>
      <x:c r="E19" s="8"/>
    </x:row>
    <x:row r="20" ht="58" customHeight="1">
      <x:c r="A20" s="24" t="str">
        <x:v>Costo para el empleador</x:v>
      </x:c>
      <x:c r="B20" s="30" t="str">
        <x:v>Lo que cuesta el trabajador en este modelo: remuneraciones más el aporte de salud.</x:v>
      </x:c>
      <x:c r="C20" s="30" t="str">
        <x:v>Total remuneraciones + EsSalud.</x:v>
      </x:c>
      <x:c r="D20" s="30" t="str">
        <x:v>3,253.00 + 292.77 = 3,545.77</x:v>
      </x:c>
      <x:c r="E20" s="31" t="n">
        <x:f>Casos!N8+Casos!U8</x:f>
        <x:v>3545.77</x:v>
      </x:c>
    </x:row>
    <x:row r="21" ht="58" customHeight="1">
      <x:c r="A21" s="24" t="str">
        <x:v>Porcentaje del costo recibido</x:v>
      </x:c>
      <x:c r="B21" s="30" t="str">
        <x:v>Parte del costo total que llega al trabajador como dinero neto.</x:v>
      </x:c>
      <x:c r="C21" s="30" t="str">
        <x:v>Neto a pagar ÷ costo para el empleador × 100.</x:v>
      </x:c>
      <x:c r="D21" s="30" t="str">
        <x:v>2,631.73 ÷ 3,545.77 × 100 = 74.22%</x:v>
      </x:c>
      <x:c r="E21" s="32" t="n">
        <x:f>Casos!T8/E20</x:f>
        <x:v>0.7422167822503998</x:v>
      </x:c>
    </x:row>
  </x:sheetData>
  <x:pageMargins left="0.7" right="0.7" top="0.75" bottom="0.75" header="0.3" footer="0.3"/>
</x:worksheet>
</file>