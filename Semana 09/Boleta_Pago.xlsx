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ámetros" sheetId="1" state="visible" r:id="rId3"/>
    <sheet name="Boleta" sheetId="2" state="visible" r:id="rId4"/>
    <sheet name="Casos" sheetId="3" state="visible" r:id="rId5"/>
    <sheet name="Explicació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<sst xmlns="http://schemas.openxmlformats.org/spreadsheetml/2006/main" count="191" uniqueCount="144">
  <si>
    <t xml:space="preserve">Parámetros de la boleta de pago</t>
  </si>
  <si>
    <t xml:space="preserve">Texto en azul = dato que se escribe a mano. Texto en negro = fórmula. Todo el libro lee los valores desde esta hoja.</t>
  </si>
  <si>
    <t xml:space="preserve">Parámetro</t>
  </si>
  <si>
    <t xml:space="preserve">Valor</t>
  </si>
  <si>
    <t xml:space="preserve">Fuente</t>
  </si>
  <si>
    <t xml:space="preserve">Fecha de consulta</t>
  </si>
  <si>
    <t xml:space="preserve">RMV (S/)</t>
  </si>
  <si>
    <t xml:space="preserve">D.S. 015-2026-TR (El Peruano, 28/09/2026), vigente desde el 01/10/2026</t>
  </si>
  <si>
    <t xml:space="preserve">25/10/2026</t>
  </si>
  <si>
    <t xml:space="preserve">Porcentaje de asignación familiar</t>
  </si>
  <si>
    <t xml:space="preserve">Ley 25129 (10% de la RMV)</t>
  </si>
  <si>
    <t xml:space="preserve">Asignación familiar (S/)</t>
  </si>
  <si>
    <t xml:space="preserve">Fórmula: RMV × porcentaje</t>
  </si>
  <si>
    <t xml:space="preserve">—</t>
  </si>
  <si>
    <t xml:space="preserve">Tasa ONP</t>
  </si>
  <si>
    <t xml:space="preserve">D.L. 19990</t>
  </si>
  <si>
    <t xml:space="preserve">Tasa EsSalud (empleador)</t>
  </si>
  <si>
    <t xml:space="preserve">Ley 26790</t>
  </si>
  <si>
    <t xml:space="preserve">Recargo horas extras: primeras horas</t>
  </si>
  <si>
    <t xml:space="preserve">Normas de jornada y sobretiempo (según guía)</t>
  </si>
  <si>
    <t xml:space="preserve">Recargo horas extras: horas siguientes</t>
  </si>
  <si>
    <t xml:space="preserve">Días del mes comercial</t>
  </si>
  <si>
    <t xml:space="preserve">Convención de la guía (sueldo ÷ 30)</t>
  </si>
  <si>
    <t xml:space="preserve">Horas por día</t>
  </si>
  <si>
    <t xml:space="preserve">Convención de la guía (valor hora = sueldo ÷ 30 ÷ 8)</t>
  </si>
  <si>
    <t xml:space="preserve">Tasas por AFP (diccionario: nombre → tasas)</t>
  </si>
  <si>
    <t xml:space="preserve">AFP</t>
  </si>
  <si>
    <t xml:space="preserve">Fondo</t>
  </si>
  <si>
    <t xml:space="preserve">Comisión</t>
  </si>
  <si>
    <t xml:space="preserve">Seguro</t>
  </si>
  <si>
    <t xml:space="preserve">AFP Ejemplo</t>
  </si>
  <si>
    <t xml:space="preserve">Valores de prueba de la guía (solo casos de prueba)</t>
  </si>
  <si>
    <t xml:space="preserve">Filas amarillas: para agregar las AFP reales con los valores publicados por la SBS (anota la fuente y la fecha). Aún no se han llenado.</t>
  </si>
  <si>
    <t xml:space="preserve">Boleta de ejemplo</t>
  </si>
  <si>
    <t xml:space="preserve">Cambia solo las celdas amarillas. Viene cargado el caso 3 como ejemplo de formato.</t>
  </si>
  <si>
    <t xml:space="preserve">DATOS DE ENTRADA</t>
  </si>
  <si>
    <t xml:space="preserve">Sueldo básico (S/)</t>
  </si>
  <si>
    <t xml:space="preserve">Días laborados (1 a 30)</t>
  </si>
  <si>
    <t xml:space="preserve">¿Tiene hijos? (Sí / No)</t>
  </si>
  <si>
    <t xml:space="preserve">Sí</t>
  </si>
  <si>
    <t xml:space="preserve">Sistema de pensiones (ONP / AFP)</t>
  </si>
  <si>
    <t xml:space="preserve">AFP (solo si el sistema es AFP)</t>
  </si>
  <si>
    <t xml:space="preserve">Horas extras al 25%</t>
  </si>
  <si>
    <t xml:space="preserve">Horas extras al 35%</t>
  </si>
  <si>
    <t xml:space="preserve">Adelantos (S/)</t>
  </si>
  <si>
    <t xml:space="preserve">CÁLCULO</t>
  </si>
  <si>
    <t xml:space="preserve">REMUNERACIONES</t>
  </si>
  <si>
    <t xml:space="preserve">Monto (S/)</t>
  </si>
  <si>
    <t xml:space="preserve">Valor hora (sin redondear, solo auxiliar)</t>
  </si>
  <si>
    <t xml:space="preserve">Sueldo computable</t>
  </si>
  <si>
    <t xml:space="preserve">Asignación familiar</t>
  </si>
  <si>
    <t xml:space="preserve">Horas extras 25%</t>
  </si>
  <si>
    <t xml:space="preserve">Horas extras 35%</t>
  </si>
  <si>
    <t xml:space="preserve">Total remuneraciones</t>
  </si>
  <si>
    <t xml:space="preserve">RETENCIONES / DESCUENTOS</t>
  </si>
  <si>
    <t xml:space="preserve">ONP</t>
  </si>
  <si>
    <t xml:space="preserve">AFP fondo</t>
  </si>
  <si>
    <t xml:space="preserve">AFP comisión</t>
  </si>
  <si>
    <t xml:space="preserve">AFP seguro</t>
  </si>
  <si>
    <t xml:space="preserve">Adelantos</t>
  </si>
  <si>
    <t xml:space="preserve">Total descuentos</t>
  </si>
  <si>
    <t xml:space="preserve">APORTACIONES DEL EMPLEADOR</t>
  </si>
  <si>
    <t xml:space="preserve">EsSalud (9%)</t>
  </si>
  <si>
    <t xml:space="preserve">NETO A PAGAR (S/)</t>
  </si>
  <si>
    <t xml:space="preserve">Costo total para el empleador (remuneraciones + EsSalud)</t>
  </si>
  <si>
    <t xml:space="preserve">% del costo que llega al trabajador como neto</t>
  </si>
  <si>
    <t xml:space="preserve">Casos de prueba (control cruzado app ↔ Excel)</t>
  </si>
  <si>
    <t xml:space="preserve">Cada fila es un caso completo con las mismas reglas de la hoja Boleta. Después de correr el caso en la app, escribe su neto en la columna X (azul): la columna Y muestra la diferencia.</t>
  </si>
  <si>
    <t xml:space="preserve">Caso</t>
  </si>
  <si>
    <t xml:space="preserve">Sueldo básico</t>
  </si>
  <si>
    <t xml:space="preserve">Días</t>
  </si>
  <si>
    <t xml:space="preserve">¿Hijos?</t>
  </si>
  <si>
    <t xml:space="preserve">Sistema</t>
  </si>
  <si>
    <t xml:space="preserve">H.E. 25%</t>
  </si>
  <si>
    <t xml:space="preserve">H.E. 35%</t>
  </si>
  <si>
    <t xml:space="preserve">H.E. 25% (S/)</t>
  </si>
  <si>
    <t xml:space="preserve">H.E. 35% (S/)</t>
  </si>
  <si>
    <t xml:space="preserve">Neto a pagar</t>
  </si>
  <si>
    <t xml:space="preserve">EsSalud (empleador)</t>
  </si>
  <si>
    <t xml:space="preserve">Neto según la guía</t>
  </si>
  <si>
    <t xml:space="preserve">¿Coincide con la guía?</t>
  </si>
  <si>
    <t xml:space="preserve">Neto en la app</t>
  </si>
  <si>
    <t xml:space="preserve">Diferencia app − Excel</t>
  </si>
  <si>
    <t xml:space="preserve">Caso 1</t>
  </si>
  <si>
    <t xml:space="preserve">No</t>
  </si>
  <si>
    <t xml:space="preserve">Caso 2</t>
  </si>
  <si>
    <t xml:space="preserve">Caso 3</t>
  </si>
  <si>
    <t xml:space="preserve">Caso 4 (evalúa el docente)</t>
  </si>
  <si>
    <t xml:space="preserve">Caso propio (oferta laboral real)</t>
  </si>
  <si>
    <t xml:space="preserve">Fuente de la columna V: guía del curso, casos 1 a 3 (azul = dato copiado de la guía). El caso 4 no trae respuesta: lo revisa el docente. El caso propio se completa con el sueldo de una oferta real (guardar enlace y fecha en la tabla de fuentes).</t>
  </si>
  <si>
    <t xml:space="preserve">Explicación de cada fórmula</t>
  </si>
  <si>
    <t xml:space="preserve">Pensada para alguien que no sabe contabilidad. Los números de ejemplo y el resultado se leen de la fila del Caso 3 de la hoja Casos (sueldo S/ 3,000, 30 días, con hijos, AFP, 4+4 horas extras, adelanto S/ 200).</t>
  </si>
  <si>
    <t xml:space="preserve">Concepto</t>
  </si>
  <si>
    <t xml:space="preserve">Qué es, en palabras</t>
  </si>
  <si>
    <t xml:space="preserve">Fórmula (en palabras)</t>
  </si>
  <si>
    <t xml:space="preserve">Ejemplo numérico (caso 3)</t>
  </si>
  <si>
    <t xml:space="preserve">Resultado en Excel (S/)</t>
  </si>
  <si>
    <t xml:space="preserve">La parte del sueldo que realmente se ganó en el mes, según los días que se trabajó.</t>
  </si>
  <si>
    <t xml:space="preserve">Sueldo básico ÷ 30 × días laborados, redondeado a 2 decimales.</t>
  </si>
  <si>
    <t xml:space="preserve">3,000 ÷ 30 × 30 = 3,000.00</t>
  </si>
  <si>
    <t xml:space="preserve">Un monto fijo que recibe quien tiene hijos. No depende de los días trabajados.</t>
  </si>
  <si>
    <t xml:space="preserve">Si tiene hijos: 10% de la RMV (sueldo mínimo legal). Si no, 0.</t>
  </si>
  <si>
    <t xml:space="preserve">10% × 1,230 = 123.00</t>
  </si>
  <si>
    <t xml:space="preserve">Valor hora</t>
  </si>
  <si>
    <t xml:space="preserve">Cuánto vale una hora normal de trabajo. Sirve para calcular las horas extras.</t>
  </si>
  <si>
    <t xml:space="preserve">Sueldo básico ÷ 30 ÷ 8. No se redondea (solo se usa para calcular).</t>
  </si>
  <si>
    <t xml:space="preserve">3,000 ÷ 30 ÷ 8 = 12.50</t>
  </si>
  <si>
    <t xml:space="preserve">Horas trabajadas de más. Se pagan con un recargo del 25% sobre el valor hora.</t>
  </si>
  <si>
    <t xml:space="preserve">Valor hora × 1.25 × número de horas.</t>
  </si>
  <si>
    <t xml:space="preserve">12.50 × 1.25 × 4 = 62.50</t>
  </si>
  <si>
    <t xml:space="preserve">Horas de más a partir de cierto punto, con recargo del 35%.</t>
  </si>
  <si>
    <t xml:space="preserve">Valor hora × 1.35 × número de horas.</t>
  </si>
  <si>
    <t xml:space="preserve">12.50 × 1.35 × 4 = 67.50</t>
  </si>
  <si>
    <t xml:space="preserve">Todo lo que el trabajador gana en el mes antes de descuentos (también se llama sueldo bruto del mes).</t>
  </si>
  <si>
    <t xml:space="preserve">Suma de sueldo computable, asignación familiar y horas extras.</t>
  </si>
  <si>
    <t xml:space="preserve">3,000 + 123 + 62.50 + 67.50 = 3,253.00</t>
  </si>
  <si>
    <t xml:space="preserve">Aporte al sistema público de pensiones. Se descuenta al trabajador si está en la ONP.</t>
  </si>
  <si>
    <t xml:space="preserve">13% del total de remuneraciones. Si está en AFP, es 0.</t>
  </si>
  <si>
    <t xml:space="preserve">En el caso 3 es AFP, por eso 0.00 (con ONP serían 3,253 × 13% = 422.89)</t>
  </si>
  <si>
    <t xml:space="preserve">Parte del descuento que va a la cuenta de ahorro personal del trabajador para su jubilación.</t>
  </si>
  <si>
    <t xml:space="preserve">Total de remuneraciones × tasa de fondo de su AFP.</t>
  </si>
  <si>
    <t xml:space="preserve">3,253 × 10% = 325.30</t>
  </si>
  <si>
    <t xml:space="preserve">Lo que cobra la AFP por administrar la cuenta.</t>
  </si>
  <si>
    <t xml:space="preserve">Total de remuneraciones × tasa de comisión, redondeado a 2 decimales.</t>
  </si>
  <si>
    <t xml:space="preserve">3,253 × 1.60% = 52.048 → 52.05</t>
  </si>
  <si>
    <t xml:space="preserve">Seguro de invalidez y sobrevivencia que cubre la AFP.</t>
  </si>
  <si>
    <t xml:space="preserve">Total de remuneraciones × tasa de seguro, redondeado a 2 decimales.</t>
  </si>
  <si>
    <t xml:space="preserve">3,253 × 1.35% = 43.9155 → 43.92</t>
  </si>
  <si>
    <t xml:space="preserve">Dinero que la empresa ya le entregó al trabajador durante el mes.</t>
  </si>
  <si>
    <t xml:space="preserve">Se resta tal cual, sin porcentaje.</t>
  </si>
  <si>
    <t xml:space="preserve">200.00</t>
  </si>
  <si>
    <t xml:space="preserve">Todo lo que se le resta al trabajador: su pensión (ONP o AFP) y los adelantos.</t>
  </si>
  <si>
    <t xml:space="preserve">Pensión (ONP o las tres de AFP) + adelantos.</t>
  </si>
  <si>
    <t xml:space="preserve">325.30 + 52.05 + 43.92 + 200.00 = 621.27</t>
  </si>
  <si>
    <t xml:space="preserve">El dinero que realmente llega al bolsillo del trabajador.</t>
  </si>
  <si>
    <t xml:space="preserve">Total remuneraciones − total descuentos.</t>
  </si>
  <si>
    <t xml:space="preserve">3,253.00 − 621.27 = 2,631.73</t>
  </si>
  <si>
    <t xml:space="preserve">Aporte de salud que paga la empresa por el trabajador. No se descuenta al trabajador: es un costo extra de la empresa.</t>
  </si>
  <si>
    <t xml:space="preserve">9% del total de remuneraciones.</t>
  </si>
  <si>
    <t xml:space="preserve">3,253 × 9% = 292.77</t>
  </si>
  <si>
    <t xml:space="preserve">Redondeo</t>
  </si>
  <si>
    <t xml:space="preserve">Para que todos obtengan el mismo resultado, cada concepto se redondea a 2 decimales y recién después se suman.</t>
  </si>
  <si>
    <t xml:space="preserve">ROUND(valor; 2) en cada concepto, nunca sobre el total.</t>
  </si>
  <si>
    <t xml:space="preserve">52.048 → 52.05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</si>
</sst>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;\-#,##0.00;0.00"/>
    <numFmt numFmtId="166" formatCode="0.00%"/>
    <numFmt numFmtId="167" formatCode="0"/>
    <numFmt numFmtId="168" formatCode="0.00"/>
    <numFmt numFmtId="169" formatCode="#,##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16"/>
    <col collapsed="false" customWidth="true" hidden="false" outlineLevel="0" max="5" min="5" style="0" width="44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7.75" hidden="false" customHeight="true" outlineLevel="0" collapsed="false">
      <c r="A5" s="4" t="s">
        <v>6</v>
      </c>
      <c r="B5" s="5" t="n">
        <v>1230</v>
      </c>
      <c r="C5" s="6" t="s">
        <v>7</v>
      </c>
      <c r="D5" s="4" t="s">
        <v>8</v>
      </c>
    </row>
    <row r="6" customFormat="false" ht="27.75" hidden="false" customHeight="true" outlineLevel="0" collapsed="false">
      <c r="A6" s="4" t="s">
        <v>9</v>
      </c>
      <c r="B6" s="7" t="n">
        <v>0.1</v>
      </c>
      <c r="C6" s="6" t="s">
        <v>10</v>
      </c>
      <c r="D6" s="4" t="s">
        <v>8</v>
      </c>
    </row>
    <row r="7" customFormat="false" ht="27.75" hidden="false" customHeight="true" outlineLevel="0" collapsed="false">
      <c r="A7" s="4" t="s">
        <v>11</v>
      </c>
      <c r="B7" s="8" t="n">
        <f aca="false">B5*B6</f>
        <v>123</v>
      </c>
      <c r="C7" s="6" t="s">
        <v>12</v>
      </c>
      <c r="D7" s="4" t="s">
        <v>13</v>
      </c>
    </row>
    <row r="8" customFormat="false" ht="27.75" hidden="false" customHeight="true" outlineLevel="0" collapsed="false">
      <c r="A8" s="4" t="s">
        <v>14</v>
      </c>
      <c r="B8" s="7" t="n">
        <v>0.13</v>
      </c>
      <c r="C8" s="6" t="s">
        <v>15</v>
      </c>
      <c r="D8" s="4" t="s">
        <v>8</v>
      </c>
    </row>
    <row r="9" customFormat="false" ht="27.75" hidden="false" customHeight="true" outlineLevel="0" collapsed="false">
      <c r="A9" s="4" t="s">
        <v>16</v>
      </c>
      <c r="B9" s="7" t="n">
        <v>0.09</v>
      </c>
      <c r="C9" s="6" t="s">
        <v>17</v>
      </c>
      <c r="D9" s="4" t="s">
        <v>8</v>
      </c>
    </row>
    <row r="10" customFormat="false" ht="27.75" hidden="false" customHeight="true" outlineLevel="0" collapsed="false">
      <c r="A10" s="4" t="s">
        <v>18</v>
      </c>
      <c r="B10" s="7" t="n">
        <v>0.25</v>
      </c>
      <c r="C10" s="6" t="s">
        <v>19</v>
      </c>
      <c r="D10" s="4" t="s">
        <v>8</v>
      </c>
    </row>
    <row r="11" customFormat="false" ht="27.75" hidden="false" customHeight="true" outlineLevel="0" collapsed="false">
      <c r="A11" s="4" t="s">
        <v>20</v>
      </c>
      <c r="B11" s="7" t="n">
        <v>0.35</v>
      </c>
      <c r="C11" s="6" t="s">
        <v>19</v>
      </c>
      <c r="D11" s="4" t="s">
        <v>8</v>
      </c>
    </row>
    <row r="12" customFormat="false" ht="27.75" hidden="false" customHeight="true" outlineLevel="0" collapsed="false">
      <c r="A12" s="4" t="s">
        <v>21</v>
      </c>
      <c r="B12" s="9" t="n">
        <v>30</v>
      </c>
      <c r="C12" s="6" t="s">
        <v>22</v>
      </c>
      <c r="D12" s="4" t="s">
        <v>8</v>
      </c>
    </row>
    <row r="13" customFormat="false" ht="27.75" hidden="false" customHeight="true" outlineLevel="0" collapsed="false">
      <c r="A13" s="4" t="s">
        <v>23</v>
      </c>
      <c r="B13" s="9" t="n">
        <v>8</v>
      </c>
      <c r="C13" s="6" t="s">
        <v>24</v>
      </c>
      <c r="D13" s="4" t="s">
        <v>8</v>
      </c>
    </row>
    <row r="16" customFormat="false" ht="15" hidden="false" customHeight="false" outlineLevel="0" collapsed="false">
      <c r="A16" s="10" t="s">
        <v>25</v>
      </c>
    </row>
    <row r="17" customFormat="false" ht="23.85" hidden="false" customHeight="false" outlineLevel="0" collapsed="false">
      <c r="A17" s="3" t="s">
        <v>26</v>
      </c>
      <c r="B17" s="3" t="s">
        <v>27</v>
      </c>
      <c r="C17" s="3" t="s">
        <v>28</v>
      </c>
      <c r="D17" s="3" t="s">
        <v>29</v>
      </c>
      <c r="E17" s="3" t="s">
        <v>4</v>
      </c>
      <c r="F17" s="3" t="s">
        <v>5</v>
      </c>
    </row>
    <row r="18" customFormat="false" ht="15" hidden="false" customHeight="false" outlineLevel="0" collapsed="false">
      <c r="A18" s="11" t="s">
        <v>30</v>
      </c>
      <c r="B18" s="7" t="n">
        <v>0.1</v>
      </c>
      <c r="C18" s="7" t="n">
        <v>0.016</v>
      </c>
      <c r="D18" s="7" t="n">
        <v>0.0135</v>
      </c>
      <c r="E18" s="6" t="s">
        <v>31</v>
      </c>
      <c r="F18" s="4" t="s">
        <v>8</v>
      </c>
    </row>
    <row r="19" customFormat="false" ht="15" hidden="false" customHeight="false" outlineLevel="0" collapsed="false">
      <c r="A19" s="12"/>
      <c r="B19" s="13"/>
      <c r="C19" s="13"/>
      <c r="D19" s="13"/>
      <c r="E19" s="12"/>
      <c r="F19" s="12"/>
    </row>
    <row r="20" customFormat="false" ht="15" hidden="false" customHeight="false" outlineLevel="0" collapsed="false">
      <c r="A20" s="12"/>
      <c r="B20" s="13"/>
      <c r="C20" s="13"/>
      <c r="D20" s="13"/>
      <c r="E20" s="12"/>
      <c r="F20" s="12"/>
    </row>
    <row r="21" customFormat="false" ht="15" hidden="false" customHeight="false" outlineLevel="0" collapsed="false">
      <c r="A21" s="12"/>
      <c r="B21" s="13"/>
      <c r="C21" s="13"/>
      <c r="D21" s="13"/>
      <c r="E21" s="12"/>
      <c r="F21" s="12"/>
    </row>
    <row r="22" customFormat="false" ht="15" hidden="false" customHeight="false" outlineLevel="0" collapsed="false">
      <c r="A22" s="12"/>
      <c r="B22" s="13"/>
      <c r="C22" s="13"/>
      <c r="D22" s="13"/>
      <c r="E22" s="12"/>
      <c r="F22" s="12"/>
    </row>
    <row r="23" customFormat="false" ht="15" hidden="false" customHeight="false" outlineLevel="0" collapsed="false">
      <c r="A23" s="14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15" hidden="false" customHeight="false" outlineLevel="0" collapsed="false">
      <c r="A4" s="10" t="s">
        <v>35</v>
      </c>
    </row>
    <row r="5" customFormat="false" ht="15" hidden="false" customHeight="false" outlineLevel="0" collapsed="false">
      <c r="A5" s="4" t="s">
        <v>36</v>
      </c>
      <c r="B5" s="15" t="n">
        <v>3000</v>
      </c>
    </row>
    <row r="6" customFormat="false" ht="15" hidden="false" customHeight="false" outlineLevel="0" collapsed="false">
      <c r="A6" s="4" t="s">
        <v>37</v>
      </c>
      <c r="B6" s="16" t="n">
        <v>30</v>
      </c>
    </row>
    <row r="7" customFormat="false" ht="15" hidden="false" customHeight="false" outlineLevel="0" collapsed="false">
      <c r="A7" s="4" t="s">
        <v>38</v>
      </c>
      <c r="B7" s="12" t="s">
        <v>39</v>
      </c>
    </row>
    <row r="8" customFormat="false" ht="15" hidden="false" customHeight="false" outlineLevel="0" collapsed="false">
      <c r="A8" s="4" t="s">
        <v>40</v>
      </c>
      <c r="B8" s="12" t="s">
        <v>26</v>
      </c>
    </row>
    <row r="9" customFormat="false" ht="15" hidden="false" customHeight="false" outlineLevel="0" collapsed="false">
      <c r="A9" s="4" t="s">
        <v>41</v>
      </c>
      <c r="B9" s="12" t="s">
        <v>30</v>
      </c>
    </row>
    <row r="10" customFormat="false" ht="15" hidden="false" customHeight="false" outlineLevel="0" collapsed="false">
      <c r="A10" s="4" t="s">
        <v>42</v>
      </c>
      <c r="B10" s="17" t="n">
        <v>4</v>
      </c>
    </row>
    <row r="11" customFormat="false" ht="15" hidden="false" customHeight="false" outlineLevel="0" collapsed="false">
      <c r="A11" s="4" t="s">
        <v>43</v>
      </c>
      <c r="B11" s="17" t="n">
        <v>4</v>
      </c>
    </row>
    <row r="12" customFormat="false" ht="15" hidden="false" customHeight="false" outlineLevel="0" collapsed="false">
      <c r="A12" s="4" t="s">
        <v>44</v>
      </c>
      <c r="B12" s="15" t="n">
        <v>200</v>
      </c>
    </row>
    <row r="14" customFormat="false" ht="15" hidden="false" customHeight="false" outlineLevel="0" collapsed="false">
      <c r="A14" s="10" t="s">
        <v>45</v>
      </c>
    </row>
    <row r="15" customFormat="false" ht="15" hidden="false" customHeight="false" outlineLevel="0" collapsed="false">
      <c r="A15" s="3" t="s">
        <v>46</v>
      </c>
      <c r="B15" s="3" t="s">
        <v>47</v>
      </c>
    </row>
    <row r="16" customFormat="false" ht="15" hidden="false" customHeight="false" outlineLevel="0" collapsed="false">
      <c r="A16" s="4" t="s">
        <v>48</v>
      </c>
      <c r="B16" s="18" t="n">
        <f aca="false">B5/Parámetros!B12/Parámetros!B13</f>
        <v>12.5</v>
      </c>
    </row>
    <row r="17" customFormat="false" ht="15" hidden="false" customHeight="false" outlineLevel="0" collapsed="false">
      <c r="A17" s="4" t="s">
        <v>49</v>
      </c>
      <c r="B17" s="8" t="n">
        <f aca="false">ROUND(B5/Parámetros!B12*B6,2)</f>
        <v>3000</v>
      </c>
    </row>
    <row r="18" customFormat="false" ht="15" hidden="false" customHeight="false" outlineLevel="0" collapsed="false">
      <c r="A18" s="4" t="s">
        <v>50</v>
      </c>
      <c r="B18" s="8" t="n">
        <f aca="false">IF(B7="Sí",ROUND(Parámetros!B7,2),0)</f>
        <v>123</v>
      </c>
    </row>
    <row r="19" customFormat="false" ht="15" hidden="false" customHeight="false" outlineLevel="0" collapsed="false">
      <c r="A19" s="4" t="s">
        <v>51</v>
      </c>
      <c r="B19" s="8" t="n">
        <f aca="false">ROUND(B16*(1+Parámetros!B10)*B10,2)</f>
        <v>62.5</v>
      </c>
    </row>
    <row r="20" customFormat="false" ht="15" hidden="false" customHeight="false" outlineLevel="0" collapsed="false">
      <c r="A20" s="4" t="s">
        <v>52</v>
      </c>
      <c r="B20" s="8" t="n">
        <f aca="false">ROUND(B16*(1+Parámetros!B11)*B11,2)</f>
        <v>67.5</v>
      </c>
    </row>
    <row r="21" customFormat="false" ht="15" hidden="false" customHeight="false" outlineLevel="0" collapsed="false">
      <c r="A21" s="19" t="s">
        <v>53</v>
      </c>
      <c r="B21" s="20" t="n">
        <f aca="false">SUM(B17:B20)</f>
        <v>3253</v>
      </c>
    </row>
    <row r="23" customFormat="false" ht="15" hidden="false" customHeight="false" outlineLevel="0" collapsed="false">
      <c r="A23" s="3" t="s">
        <v>54</v>
      </c>
      <c r="B23" s="3" t="s">
        <v>47</v>
      </c>
    </row>
    <row r="24" customFormat="false" ht="15" hidden="false" customHeight="false" outlineLevel="0" collapsed="false">
      <c r="A24" s="4" t="s">
        <v>55</v>
      </c>
      <c r="B24" s="8" t="n">
        <f aca="false">IF(B8="ONP",ROUND(B21*Parámetros!B8,2),0)</f>
        <v>0</v>
      </c>
    </row>
    <row r="25" customFormat="false" ht="15" hidden="false" customHeight="false" outlineLevel="0" collapsed="false">
      <c r="A25" s="4" t="s">
        <v>56</v>
      </c>
      <c r="B25" s="8" t="n">
        <f aca="false">IF(B8="AFP",ROUND(B21*INDEX(Parámetros!$B$18:$B$22,MATCH(B9,Parámetros!$A$18:$A$22,0)),2),0)</f>
        <v>325.3</v>
      </c>
    </row>
    <row r="26" customFormat="false" ht="15" hidden="false" customHeight="false" outlineLevel="0" collapsed="false">
      <c r="A26" s="4" t="s">
        <v>57</v>
      </c>
      <c r="B26" s="8" t="n">
        <f aca="false">IF(B8="AFP",ROUND(B21*INDEX(Parámetros!$C$18:$C$22,MATCH(B9,Parámetros!$A$18:$A$22,0)),2),0)</f>
        <v>52.05</v>
      </c>
    </row>
    <row r="27" customFormat="false" ht="15" hidden="false" customHeight="false" outlineLevel="0" collapsed="false">
      <c r="A27" s="4" t="s">
        <v>58</v>
      </c>
      <c r="B27" s="8" t="n">
        <f aca="false">IF(B8="AFP",ROUND(B21*INDEX(Parámetros!$D$18:$D$22,MATCH(B9,Parámetros!$A$18:$A$22,0)),2),0)</f>
        <v>43.92</v>
      </c>
    </row>
    <row r="28" customFormat="false" ht="15" hidden="false" customHeight="false" outlineLevel="0" collapsed="false">
      <c r="A28" s="4" t="s">
        <v>59</v>
      </c>
      <c r="B28" s="8" t="n">
        <f aca="false">B12</f>
        <v>200</v>
      </c>
    </row>
    <row r="29" customFormat="false" ht="15" hidden="false" customHeight="false" outlineLevel="0" collapsed="false">
      <c r="A29" s="19" t="s">
        <v>60</v>
      </c>
      <c r="B29" s="20" t="n">
        <f aca="false">SUM(B24:B28)</f>
        <v>621.27</v>
      </c>
    </row>
    <row r="31" customFormat="false" ht="15" hidden="false" customHeight="false" outlineLevel="0" collapsed="false">
      <c r="A31" s="3" t="s">
        <v>61</v>
      </c>
      <c r="B31" s="3" t="s">
        <v>47</v>
      </c>
    </row>
    <row r="32" customFormat="false" ht="15" hidden="false" customHeight="false" outlineLevel="0" collapsed="false">
      <c r="A32" s="4" t="s">
        <v>62</v>
      </c>
      <c r="B32" s="8" t="n">
        <f aca="false">ROUND(B21*Parámetros!B9,2)</f>
        <v>292.77</v>
      </c>
    </row>
    <row r="34" customFormat="false" ht="15" hidden="false" customHeight="false" outlineLevel="0" collapsed="false">
      <c r="A34" s="21" t="s">
        <v>63</v>
      </c>
      <c r="B34" s="22" t="n">
        <f aca="false">B21-B29</f>
        <v>2631.73</v>
      </c>
    </row>
    <row r="35" customFormat="false" ht="15" hidden="false" customHeight="false" outlineLevel="0" collapsed="false">
      <c r="A35" s="4" t="s">
        <v>64</v>
      </c>
      <c r="B35" s="8" t="n">
        <f aca="false">B21+B32</f>
        <v>3545.77</v>
      </c>
    </row>
    <row r="36" customFormat="false" ht="15" hidden="false" customHeight="false" outlineLevel="0" collapsed="false">
      <c r="A36" s="4" t="s">
        <v>65</v>
      </c>
      <c r="B36" s="23" t="n">
        <f aca="false">B34/B35</f>
        <v>0.7422167822504</v>
      </c>
    </row>
  </sheetData>
  <dataValidations count="6">
    <dataValidation allowBlank="false" errorStyle="stop" operator="between" showDropDown="false" showErrorMessage="false" showInputMessage="false" sqref="B7" type="list">
      <formula1>"Sí,No"</formula1>
      <formula2>0</formula2>
    </dataValidation>
    <dataValidation allowBlank="false" errorStyle="stop" operator="between" showDropDown="false" showErrorMessage="false" showInputMessage="false" sqref="B8" type="list">
      <formula1>"ONP,AFP"</formula1>
      <formula2>0</formula2>
    </dataValidation>
    <dataValidation allowBlank="true" errorStyle="stop" operator="between" showDropDown="false" showErrorMessage="false" showInputMessage="false" sqref="B9" type="list">
      <formula1>Parámetros!$A$18:$A$22</formula1>
      <formula2>0</formula2>
    </dataValidation>
    <dataValidation allowBlank="false" error="Escribe un entero entre 1 y 30." errorStyle="stop" errorTitle="Días laborados" operator="between" showDropDown="false" showErrorMessage="true" showInputMessage="false" sqref="B6" type="whole">
      <formula1>1</formula1>
      <formula2>30</formula2>
    </dataValidation>
    <dataValidation allowBlank="false" error="El sueldo debe ser mayor que cero." errorStyle="stop" errorTitle="Sueldo" operator="greaterThan" showDropDown="false" showErrorMessage="true" showInputMessage="false" sqref="B5" type="decimal">
      <formula1>0</formula1>
      <formula2>0</formula2>
    </dataValidation>
    <dataValidation allowBlank="false" error="Debe ser mayor o igual a cero." errorStyle="stop" errorTitle="Valor" operator="greaterThanOrEqual" showDropDown="false" showErrorMessage="true" showInputMessage="false" sqref="B10:B12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2"/>
    <col collapsed="false" customWidth="true" hidden="false" outlineLevel="0" max="6" min="6" style="0" width="14"/>
    <col collapsed="false" customWidth="true" hidden="false" outlineLevel="0" max="9" min="7" style="0" width="12"/>
    <col collapsed="false" customWidth="true" hidden="false" outlineLevel="0" max="21" min="10" style="0" width="14"/>
    <col collapsed="false" customWidth="true" hidden="false" outlineLevel="0" max="25" min="22" style="0" width="16"/>
  </cols>
  <sheetData>
    <row r="1" customFormat="false" ht="17.35" hidden="false" customHeight="false" outlineLevel="0" collapsed="false">
      <c r="A1" s="1" t="s">
        <v>66</v>
      </c>
    </row>
    <row r="2" customFormat="false" ht="15" hidden="false" customHeight="false" outlineLevel="0" collapsed="false">
      <c r="A2" s="2" t="s">
        <v>67</v>
      </c>
    </row>
    <row r="5" customFormat="false" ht="42" hidden="false" customHeight="true" outlineLevel="0" collapsed="false">
      <c r="A5" s="3" t="s">
        <v>68</v>
      </c>
      <c r="B5" s="3" t="s">
        <v>69</v>
      </c>
      <c r="C5" s="3" t="s">
        <v>70</v>
      </c>
      <c r="D5" s="3" t="s">
        <v>71</v>
      </c>
      <c r="E5" s="3" t="s">
        <v>72</v>
      </c>
      <c r="F5" s="3" t="s">
        <v>26</v>
      </c>
      <c r="G5" s="3" t="s">
        <v>73</v>
      </c>
      <c r="H5" s="3" t="s">
        <v>74</v>
      </c>
      <c r="I5" s="3" t="s">
        <v>59</v>
      </c>
      <c r="J5" s="3" t="s">
        <v>49</v>
      </c>
      <c r="K5" s="3" t="s">
        <v>50</v>
      </c>
      <c r="L5" s="3" t="s">
        <v>75</v>
      </c>
      <c r="M5" s="3" t="s">
        <v>76</v>
      </c>
      <c r="N5" s="3" t="s">
        <v>53</v>
      </c>
      <c r="O5" s="3" t="s">
        <v>55</v>
      </c>
      <c r="P5" s="3" t="s">
        <v>56</v>
      </c>
      <c r="Q5" s="3" t="s">
        <v>57</v>
      </c>
      <c r="R5" s="3" t="s">
        <v>58</v>
      </c>
      <c r="S5" s="3" t="s">
        <v>60</v>
      </c>
      <c r="T5" s="3" t="s">
        <v>77</v>
      </c>
      <c r="U5" s="3" t="s">
        <v>78</v>
      </c>
      <c r="V5" s="3" t="s">
        <v>79</v>
      </c>
      <c r="W5" s="3" t="s">
        <v>80</v>
      </c>
      <c r="X5" s="3" t="s">
        <v>81</v>
      </c>
      <c r="Y5" s="3" t="s">
        <v>82</v>
      </c>
    </row>
    <row r="6" customFormat="false" ht="15" hidden="false" customHeight="false" outlineLevel="0" collapsed="false">
      <c r="A6" s="19" t="s">
        <v>83</v>
      </c>
      <c r="B6" s="5" t="n">
        <v>2500</v>
      </c>
      <c r="C6" s="9" t="n">
        <v>30</v>
      </c>
      <c r="D6" s="11" t="s">
        <v>84</v>
      </c>
      <c r="E6" s="11" t="s">
        <v>55</v>
      </c>
      <c r="F6" s="11"/>
      <c r="G6" s="24" t="n">
        <v>0</v>
      </c>
      <c r="H6" s="24" t="n">
        <v>0</v>
      </c>
      <c r="I6" s="5" t="n">
        <v>0</v>
      </c>
      <c r="J6" s="8" t="n">
        <f aca="false">IF($B6="","",ROUND(B6/Parámetros!$B$12*C6,2))</f>
        <v>2500</v>
      </c>
      <c r="K6" s="8" t="n">
        <f aca="false">IF($B6="","",IF(D6="Sí",ROUND(Parámetros!$B$7,2),0))</f>
        <v>0</v>
      </c>
      <c r="L6" s="8" t="n">
        <f aca="false">IF($B6="","",ROUND(B6/Parámetros!$B$12/Parámetros!$B$13*(1+Parámetros!$B$10)*G6,2))</f>
        <v>0</v>
      </c>
      <c r="M6" s="8" t="n">
        <f aca="false">IF($B6="","",ROUND(B6/Parámetros!$B$12/Parámetros!$B$13*(1+Parámetros!$B$11)*H6,2))</f>
        <v>0</v>
      </c>
      <c r="N6" s="8" t="n">
        <f aca="false">IF($B6="","",SUM(J6:M6))</f>
        <v>2500</v>
      </c>
      <c r="O6" s="8" t="n">
        <f aca="false">IF($B6="","",IF(E6="ONP",ROUND(N6*Parámetros!$B$8,2),0))</f>
        <v>325</v>
      </c>
      <c r="P6" s="8" t="n">
        <f aca="false">IF($B6="","",IF(E6="AFP",ROUND(N6*INDEX(Parámetros!$B$18:$B$22,MATCH(F6,Parámetros!$A$18:$A$22,0)),2),0))</f>
        <v>0</v>
      </c>
      <c r="Q6" s="8" t="n">
        <f aca="false">IF($B6="","",IF(E6="AFP",ROUND(N6*INDEX(Parámetros!$C$18:$C$22,MATCH(F6,Parámetros!$A$18:$A$22,0)),2),0))</f>
        <v>0</v>
      </c>
      <c r="R6" s="8" t="n">
        <f aca="false">IF($B6="","",IF(E6="AFP",ROUND(N6*INDEX(Parámetros!$D$18:$D$22,MATCH(F6,Parámetros!$A$18:$A$22,0)),2),0))</f>
        <v>0</v>
      </c>
      <c r="S6" s="8" t="n">
        <f aca="false">IF($B6="","",SUM(O6:R6)+I6)</f>
        <v>325</v>
      </c>
      <c r="T6" s="20" t="n">
        <f aca="false">IF($B6="","",N6-S6)</f>
        <v>2175</v>
      </c>
      <c r="U6" s="8" t="n">
        <f aca="false">IF($B6="","",ROUND(N6*Parámetros!$B$9,2))</f>
        <v>225</v>
      </c>
      <c r="V6" s="5" t="n">
        <v>2175</v>
      </c>
      <c r="W6" s="4" t="str">
        <f aca="false">IF(V6="","sin dato en la guía",IF(ROUND(T6-V6,2)=0,"Sí","NO"))</f>
        <v>Sí</v>
      </c>
      <c r="X6" s="15"/>
      <c r="Y6" s="8" t="str">
        <f aca="false">IF(X6="","",ROUND(X6-T6,2))</f>
        <v/>
      </c>
    </row>
    <row r="7" customFormat="false" ht="15" hidden="false" customHeight="false" outlineLevel="0" collapsed="false">
      <c r="A7" s="19" t="s">
        <v>85</v>
      </c>
      <c r="B7" s="5" t="n">
        <v>1800</v>
      </c>
      <c r="C7" s="9" t="n">
        <v>27</v>
      </c>
      <c r="D7" s="11" t="s">
        <v>39</v>
      </c>
      <c r="E7" s="11" t="s">
        <v>55</v>
      </c>
      <c r="F7" s="11"/>
      <c r="G7" s="24" t="n">
        <v>0</v>
      </c>
      <c r="H7" s="24" t="n">
        <v>0</v>
      </c>
      <c r="I7" s="5" t="n">
        <v>0</v>
      </c>
      <c r="J7" s="8" t="n">
        <f aca="false">IF($B7="","",ROUND(B7/Parámetros!$B$12*C7,2))</f>
        <v>1620</v>
      </c>
      <c r="K7" s="8" t="n">
        <f aca="false">IF($B7="","",IF(D7="Sí",ROUND(Parámetros!$B$7,2),0))</f>
        <v>123</v>
      </c>
      <c r="L7" s="8" t="n">
        <f aca="false">IF($B7="","",ROUND(B7/Parámetros!$B$12/Parámetros!$B$13*(1+Parámetros!$B$10)*G7,2))</f>
        <v>0</v>
      </c>
      <c r="M7" s="8" t="n">
        <f aca="false">IF($B7="","",ROUND(B7/Parámetros!$B$12/Parámetros!$B$13*(1+Parámetros!$B$11)*H7,2))</f>
        <v>0</v>
      </c>
      <c r="N7" s="8" t="n">
        <f aca="false">IF($B7="","",SUM(J7:M7))</f>
        <v>1743</v>
      </c>
      <c r="O7" s="8" t="n">
        <f aca="false">IF($B7="","",IF(E7="ONP",ROUND(N7*Parámetros!$B$8,2),0))</f>
        <v>226.59</v>
      </c>
      <c r="P7" s="8" t="n">
        <f aca="false">IF($B7="","",IF(E7="AFP",ROUND(N7*INDEX(Parámetros!$B$18:$B$22,MATCH(F7,Parámetros!$A$18:$A$22,0)),2),0))</f>
        <v>0</v>
      </c>
      <c r="Q7" s="8" t="n">
        <f aca="false">IF($B7="","",IF(E7="AFP",ROUND(N7*INDEX(Parámetros!$C$18:$C$22,MATCH(F7,Parámetros!$A$18:$A$22,0)),2),0))</f>
        <v>0</v>
      </c>
      <c r="R7" s="8" t="n">
        <f aca="false">IF($B7="","",IF(E7="AFP",ROUND(N7*INDEX(Parámetros!$D$18:$D$22,MATCH(F7,Parámetros!$A$18:$A$22,0)),2),0))</f>
        <v>0</v>
      </c>
      <c r="S7" s="8" t="n">
        <f aca="false">IF($B7="","",SUM(O7:R7)+I7)</f>
        <v>226.59</v>
      </c>
      <c r="T7" s="20" t="n">
        <f aca="false">IF($B7="","",N7-S7)</f>
        <v>1516.41</v>
      </c>
      <c r="U7" s="8" t="n">
        <f aca="false">IF($B7="","",ROUND(N7*Parámetros!$B$9,2))</f>
        <v>156.87</v>
      </c>
      <c r="V7" s="5" t="n">
        <v>1516.41</v>
      </c>
      <c r="W7" s="4" t="str">
        <f aca="false">IF(V7="","sin dato en la guía",IF(ROUND(T7-V7,2)=0,"Sí","NO"))</f>
        <v>Sí</v>
      </c>
      <c r="X7" s="15"/>
      <c r="Y7" s="8" t="str">
        <f aca="false">IF(X7="","",ROUND(X7-T7,2))</f>
        <v/>
      </c>
    </row>
    <row r="8" customFormat="false" ht="15" hidden="false" customHeight="false" outlineLevel="0" collapsed="false">
      <c r="A8" s="19" t="s">
        <v>86</v>
      </c>
      <c r="B8" s="5" t="n">
        <v>3000</v>
      </c>
      <c r="C8" s="9" t="n">
        <v>30</v>
      </c>
      <c r="D8" s="11" t="s">
        <v>39</v>
      </c>
      <c r="E8" s="11" t="s">
        <v>26</v>
      </c>
      <c r="F8" s="11" t="s">
        <v>30</v>
      </c>
      <c r="G8" s="24" t="n">
        <v>4</v>
      </c>
      <c r="H8" s="24" t="n">
        <v>4</v>
      </c>
      <c r="I8" s="5" t="n">
        <v>200</v>
      </c>
      <c r="J8" s="8" t="n">
        <f aca="false">IF($B8="","",ROUND(B8/Parámetros!$B$12*C8,2))</f>
        <v>3000</v>
      </c>
      <c r="K8" s="8" t="n">
        <f aca="false">IF($B8="","",IF(D8="Sí",ROUND(Parámetros!$B$7,2),0))</f>
        <v>123</v>
      </c>
      <c r="L8" s="8" t="n">
        <f aca="false">IF($B8="","",ROUND(B8/Parámetros!$B$12/Parámetros!$B$13*(1+Parámetros!$B$10)*G8,2))</f>
        <v>62.5</v>
      </c>
      <c r="M8" s="8" t="n">
        <f aca="false">IF($B8="","",ROUND(B8/Parámetros!$B$12/Parámetros!$B$13*(1+Parámetros!$B$11)*H8,2))</f>
        <v>67.5</v>
      </c>
      <c r="N8" s="8" t="n">
        <f aca="false">IF($B8="","",SUM(J8:M8))</f>
        <v>3253</v>
      </c>
      <c r="O8" s="8" t="n">
        <f aca="false">IF($B8="","",IF(E8="ONP",ROUND(N8*Parámetros!$B$8,2),0))</f>
        <v>0</v>
      </c>
      <c r="P8" s="8" t="n">
        <f aca="false">IF($B8="","",IF(E8="AFP",ROUND(N8*INDEX(Parámetros!$B$18:$B$22,MATCH(F8,Parámetros!$A$18:$A$22,0)),2),0))</f>
        <v>325.3</v>
      </c>
      <c r="Q8" s="8" t="n">
        <f aca="false">IF($B8="","",IF(E8="AFP",ROUND(N8*INDEX(Parámetros!$C$18:$C$22,MATCH(F8,Parámetros!$A$18:$A$22,0)),2),0))</f>
        <v>52.05</v>
      </c>
      <c r="R8" s="8" t="n">
        <f aca="false">IF($B8="","",IF(E8="AFP",ROUND(N8*INDEX(Parámetros!$D$18:$D$22,MATCH(F8,Parámetros!$A$18:$A$22,0)),2),0))</f>
        <v>43.92</v>
      </c>
      <c r="S8" s="8" t="n">
        <f aca="false">IF($B8="","",SUM(O8:R8)+I8)</f>
        <v>621.27</v>
      </c>
      <c r="T8" s="20" t="n">
        <f aca="false">IF($B8="","",N8-S8)</f>
        <v>2631.73</v>
      </c>
      <c r="U8" s="8" t="n">
        <f aca="false">IF($B8="","",ROUND(N8*Parámetros!$B$9,2))</f>
        <v>292.77</v>
      </c>
      <c r="V8" s="5" t="n">
        <v>2631.73</v>
      </c>
      <c r="W8" s="4" t="str">
        <f aca="false">IF(V8="","sin dato en la guía",IF(ROUND(T8-V8,2)=0,"Sí","NO"))</f>
        <v>Sí</v>
      </c>
      <c r="X8" s="15"/>
      <c r="Y8" s="8" t="str">
        <f aca="false">IF(X8="","",ROUND(X8-T8,2))</f>
        <v/>
      </c>
    </row>
    <row r="9" customFormat="false" ht="15" hidden="false" customHeight="false" outlineLevel="0" collapsed="false">
      <c r="A9" s="19" t="s">
        <v>87</v>
      </c>
      <c r="B9" s="5" t="n">
        <v>4200</v>
      </c>
      <c r="C9" s="9" t="n">
        <v>24</v>
      </c>
      <c r="D9" s="11" t="s">
        <v>39</v>
      </c>
      <c r="E9" s="11" t="s">
        <v>26</v>
      </c>
      <c r="F9" s="11" t="s">
        <v>30</v>
      </c>
      <c r="G9" s="24" t="n">
        <v>2</v>
      </c>
      <c r="H9" s="24" t="n">
        <v>2</v>
      </c>
      <c r="I9" s="5" t="n">
        <v>100</v>
      </c>
      <c r="J9" s="8" t="n">
        <f aca="false">IF($B9="","",ROUND(B9/Parámetros!$B$12*C9,2))</f>
        <v>3360</v>
      </c>
      <c r="K9" s="8" t="n">
        <f aca="false">IF($B9="","",IF(D9="Sí",ROUND(Parámetros!$B$7,2),0))</f>
        <v>123</v>
      </c>
      <c r="L9" s="8" t="n">
        <f aca="false">IF($B9="","",ROUND(B9/Parámetros!$B$12/Parámetros!$B$13*(1+Parámetros!$B$10)*G9,2))</f>
        <v>43.75</v>
      </c>
      <c r="M9" s="8" t="n">
        <f aca="false">IF($B9="","",ROUND(B9/Parámetros!$B$12/Parámetros!$B$13*(1+Parámetros!$B$11)*H9,2))</f>
        <v>47.25</v>
      </c>
      <c r="N9" s="8" t="n">
        <f aca="false">IF($B9="","",SUM(J9:M9))</f>
        <v>3574</v>
      </c>
      <c r="O9" s="8" t="n">
        <f aca="false">IF($B9="","",IF(E9="ONP",ROUND(N9*Parámetros!$B$8,2),0))</f>
        <v>0</v>
      </c>
      <c r="P9" s="8" t="n">
        <f aca="false">IF($B9="","",IF(E9="AFP",ROUND(N9*INDEX(Parámetros!$B$18:$B$22,MATCH(F9,Parámetros!$A$18:$A$22,0)),2),0))</f>
        <v>357.4</v>
      </c>
      <c r="Q9" s="8" t="n">
        <f aca="false">IF($B9="","",IF(E9="AFP",ROUND(N9*INDEX(Parámetros!$C$18:$C$22,MATCH(F9,Parámetros!$A$18:$A$22,0)),2),0))</f>
        <v>57.18</v>
      </c>
      <c r="R9" s="8" t="n">
        <f aca="false">IF($B9="","",IF(E9="AFP",ROUND(N9*INDEX(Parámetros!$D$18:$D$22,MATCH(F9,Parámetros!$A$18:$A$22,0)),2),0))</f>
        <v>48.25</v>
      </c>
      <c r="S9" s="8" t="n">
        <f aca="false">IF($B9="","",SUM(O9:R9)+I9)</f>
        <v>562.83</v>
      </c>
      <c r="T9" s="20" t="n">
        <f aca="false">IF($B9="","",N9-S9)</f>
        <v>3011.17</v>
      </c>
      <c r="U9" s="8" t="n">
        <f aca="false">IF($B9="","",ROUND(N9*Parámetros!$B$9,2))</f>
        <v>321.66</v>
      </c>
      <c r="V9" s="5"/>
      <c r="W9" s="4" t="str">
        <f aca="false">IF(V9="","sin dato en la guía",IF(ROUND(T9-V9,2)=0,"Sí","NO"))</f>
        <v>sin dato en la guía</v>
      </c>
      <c r="X9" s="15"/>
      <c r="Y9" s="8" t="str">
        <f aca="false">IF(X9="","",ROUND(X9-T9,2))</f>
        <v/>
      </c>
    </row>
    <row r="10" customFormat="false" ht="15" hidden="false" customHeight="false" outlineLevel="0" collapsed="false">
      <c r="A10" s="19" t="s">
        <v>88</v>
      </c>
      <c r="B10" s="15"/>
      <c r="C10" s="16"/>
      <c r="D10" s="12"/>
      <c r="E10" s="12"/>
      <c r="F10" s="12"/>
      <c r="G10" s="17"/>
      <c r="H10" s="17"/>
      <c r="I10" s="15"/>
      <c r="J10" s="8" t="str">
        <f aca="false">IF($B10="","",ROUND(B10/Parámetros!$B$12*C10,2))</f>
        <v/>
      </c>
      <c r="K10" s="8" t="str">
        <f aca="false">IF($B10="","",IF(D10="Sí",ROUND(Parámetros!$B$7,2),0))</f>
        <v/>
      </c>
      <c r="L10" s="8" t="str">
        <f aca="false">IF($B10="","",ROUND(B10/Parámetros!$B$12/Parámetros!$B$13*(1+Parámetros!$B$10)*G10,2))</f>
        <v/>
      </c>
      <c r="M10" s="8" t="str">
        <f aca="false">IF($B10="","",ROUND(B10/Parámetros!$B$12/Parámetros!$B$13*(1+Parámetros!$B$11)*H10,2))</f>
        <v/>
      </c>
      <c r="N10" s="8" t="str">
        <f aca="false">IF($B10="","",SUM(J10:M10))</f>
        <v/>
      </c>
      <c r="O10" s="8" t="str">
        <f aca="false">IF($B10="","",IF(E10="ONP",ROUND(N10*Parámetros!$B$8,2),0))</f>
        <v/>
      </c>
      <c r="P10" s="8" t="str">
        <f aca="false">IF($B10="","",IF(E10="AFP",ROUND(N10*INDEX(Parámetros!$B$18:$B$22,MATCH(F10,Parámetros!$A$18:$A$22,0)),2),0))</f>
        <v/>
      </c>
      <c r="Q10" s="8" t="str">
        <f aca="false">IF($B10="","",IF(E10="AFP",ROUND(N10*INDEX(Parámetros!$C$18:$C$22,MATCH(F10,Parámetros!$A$18:$A$22,0)),2),0))</f>
        <v/>
      </c>
      <c r="R10" s="8" t="str">
        <f aca="false">IF($B10="","",IF(E10="AFP",ROUND(N10*INDEX(Parámetros!$D$18:$D$22,MATCH(F10,Parámetros!$A$18:$A$22,0)),2),0))</f>
        <v/>
      </c>
      <c r="S10" s="8" t="str">
        <f aca="false">IF($B10="","",SUM(O10:R10)+I10)</f>
        <v/>
      </c>
      <c r="T10" s="20" t="str">
        <f aca="false">IF($B10="","",N10-S10)</f>
        <v/>
      </c>
      <c r="U10" s="8" t="str">
        <f aca="false">IF($B10="","",ROUND(N10*Parámetros!$B$9,2))</f>
        <v/>
      </c>
      <c r="V10" s="5"/>
      <c r="W10" s="4" t="str">
        <f aca="false">IF(V10="","sin dato en la guía",IF(ROUND(T10-V10,2)=0,"Sí","NO"))</f>
        <v>sin dato en la guía</v>
      </c>
      <c r="X10" s="15"/>
      <c r="Y10" s="8" t="str">
        <f aca="false">IF(X10="","",ROUND(X10-T10,2))</f>
        <v/>
      </c>
    </row>
    <row r="12" customFormat="false" ht="15" hidden="false" customHeight="false" outlineLevel="0" collapsed="false">
      <c r="A12" s="14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2"/>
    <col collapsed="false" customWidth="true" hidden="false" outlineLevel="0" max="3" min="3" style="0" width="44"/>
    <col collapsed="false" customWidth="true" hidden="false" outlineLevel="0" max="4" min="4" style="0" width="38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90</v>
      </c>
    </row>
    <row r="2" customFormat="false" ht="15" hidden="false" customHeight="false" outlineLevel="0" collapsed="false">
      <c r="A2" s="2" t="s">
        <v>91</v>
      </c>
    </row>
    <row r="4" customFormat="false" ht="23.85" hidden="false" customHeight="false" outlineLevel="0" collapsed="false">
      <c r="A4" s="3" t="s">
        <v>92</v>
      </c>
      <c r="B4" s="3" t="s">
        <v>93</v>
      </c>
      <c r="C4" s="3" t="s">
        <v>94</v>
      </c>
      <c r="D4" s="3" t="s">
        <v>95</v>
      </c>
      <c r="E4" s="3" t="s">
        <v>96</v>
      </c>
    </row>
    <row r="5" customFormat="false" ht="43.5" hidden="false" customHeight="true" outlineLevel="0" collapsed="false">
      <c r="A5" s="25" t="s">
        <v>49</v>
      </c>
      <c r="B5" s="6" t="s">
        <v>97</v>
      </c>
      <c r="C5" s="6" t="s">
        <v>98</v>
      </c>
      <c r="D5" s="6" t="s">
        <v>99</v>
      </c>
      <c r="E5" s="8" t="n">
        <f aca="false">Casos!J8</f>
        <v>3000</v>
      </c>
    </row>
    <row r="6" customFormat="false" ht="43.5" hidden="false" customHeight="true" outlineLevel="0" collapsed="false">
      <c r="A6" s="25" t="s">
        <v>50</v>
      </c>
      <c r="B6" s="6" t="s">
        <v>100</v>
      </c>
      <c r="C6" s="6" t="s">
        <v>101</v>
      </c>
      <c r="D6" s="6" t="s">
        <v>102</v>
      </c>
      <c r="E6" s="8" t="n">
        <f aca="false">Casos!K8</f>
        <v>123</v>
      </c>
    </row>
    <row r="7" customFormat="false" ht="43.5" hidden="false" customHeight="true" outlineLevel="0" collapsed="false">
      <c r="A7" s="25" t="s">
        <v>103</v>
      </c>
      <c r="B7" s="6" t="s">
        <v>104</v>
      </c>
      <c r="C7" s="6" t="s">
        <v>105</v>
      </c>
      <c r="D7" s="6" t="s">
        <v>106</v>
      </c>
      <c r="E7" s="8" t="n">
        <f aca="false">Boleta!B16</f>
        <v>12.5</v>
      </c>
    </row>
    <row r="8" customFormat="false" ht="43.5" hidden="false" customHeight="true" outlineLevel="0" collapsed="false">
      <c r="A8" s="25" t="s">
        <v>42</v>
      </c>
      <c r="B8" s="6" t="s">
        <v>107</v>
      </c>
      <c r="C8" s="6" t="s">
        <v>108</v>
      </c>
      <c r="D8" s="6" t="s">
        <v>109</v>
      </c>
      <c r="E8" s="8" t="n">
        <f aca="false">Casos!L8</f>
        <v>62.5</v>
      </c>
    </row>
    <row r="9" customFormat="false" ht="43.5" hidden="false" customHeight="true" outlineLevel="0" collapsed="false">
      <c r="A9" s="25" t="s">
        <v>43</v>
      </c>
      <c r="B9" s="6" t="s">
        <v>110</v>
      </c>
      <c r="C9" s="6" t="s">
        <v>111</v>
      </c>
      <c r="D9" s="6" t="s">
        <v>112</v>
      </c>
      <c r="E9" s="8" t="n">
        <f aca="false">Casos!M8</f>
        <v>67.5</v>
      </c>
    </row>
    <row r="10" customFormat="false" ht="43.5" hidden="false" customHeight="true" outlineLevel="0" collapsed="false">
      <c r="A10" s="25" t="s">
        <v>53</v>
      </c>
      <c r="B10" s="6" t="s">
        <v>113</v>
      </c>
      <c r="C10" s="6" t="s">
        <v>114</v>
      </c>
      <c r="D10" s="6" t="s">
        <v>115</v>
      </c>
      <c r="E10" s="8" t="n">
        <f aca="false">Casos!N8</f>
        <v>3253</v>
      </c>
    </row>
    <row r="11" customFormat="false" ht="43.5" hidden="false" customHeight="true" outlineLevel="0" collapsed="false">
      <c r="A11" s="25" t="s">
        <v>55</v>
      </c>
      <c r="B11" s="6" t="s">
        <v>116</v>
      </c>
      <c r="C11" s="6" t="s">
        <v>117</v>
      </c>
      <c r="D11" s="6" t="s">
        <v>118</v>
      </c>
      <c r="E11" s="8" t="n">
        <f aca="false">Casos!O8</f>
        <v>0</v>
      </c>
    </row>
    <row r="12" customFormat="false" ht="43.5" hidden="false" customHeight="true" outlineLevel="0" collapsed="false">
      <c r="A12" s="25" t="s">
        <v>56</v>
      </c>
      <c r="B12" s="6" t="s">
        <v>119</v>
      </c>
      <c r="C12" s="6" t="s">
        <v>120</v>
      </c>
      <c r="D12" s="6" t="s">
        <v>121</v>
      </c>
      <c r="E12" s="8" t="n">
        <f aca="false">Casos!P8</f>
        <v>325.3</v>
      </c>
    </row>
    <row r="13" customFormat="false" ht="43.5" hidden="false" customHeight="true" outlineLevel="0" collapsed="false">
      <c r="A13" s="25" t="s">
        <v>57</v>
      </c>
      <c r="B13" s="6" t="s">
        <v>122</v>
      </c>
      <c r="C13" s="6" t="s">
        <v>123</v>
      </c>
      <c r="D13" s="6" t="s">
        <v>124</v>
      </c>
      <c r="E13" s="8" t="n">
        <f aca="false">Casos!Q8</f>
        <v>52.05</v>
      </c>
    </row>
    <row r="14" customFormat="false" ht="43.5" hidden="false" customHeight="true" outlineLevel="0" collapsed="false">
      <c r="A14" s="25" t="s">
        <v>58</v>
      </c>
      <c r="B14" s="6" t="s">
        <v>125</v>
      </c>
      <c r="C14" s="6" t="s">
        <v>126</v>
      </c>
      <c r="D14" s="6" t="s">
        <v>127</v>
      </c>
      <c r="E14" s="8" t="n">
        <f aca="false">Casos!R8</f>
        <v>43.92</v>
      </c>
    </row>
    <row r="15" customFormat="false" ht="43.5" hidden="false" customHeight="true" outlineLevel="0" collapsed="false">
      <c r="A15" s="25" t="s">
        <v>59</v>
      </c>
      <c r="B15" s="6" t="s">
        <v>128</v>
      </c>
      <c r="C15" s="6" t="s">
        <v>129</v>
      </c>
      <c r="D15" s="6" t="s">
        <v>130</v>
      </c>
      <c r="E15" s="8" t="n">
        <f aca="false">Casos!I8</f>
        <v>200</v>
      </c>
    </row>
    <row r="16" customFormat="false" ht="43.5" hidden="false" customHeight="true" outlineLevel="0" collapsed="false">
      <c r="A16" s="25" t="s">
        <v>60</v>
      </c>
      <c r="B16" s="6" t="s">
        <v>131</v>
      </c>
      <c r="C16" s="6" t="s">
        <v>132</v>
      </c>
      <c r="D16" s="6" t="s">
        <v>133</v>
      </c>
      <c r="E16" s="8" t="n">
        <f aca="false">Casos!S8</f>
        <v>621.27</v>
      </c>
    </row>
    <row r="17" customFormat="false" ht="43.5" hidden="false" customHeight="true" outlineLevel="0" collapsed="false">
      <c r="A17" s="25" t="s">
        <v>77</v>
      </c>
      <c r="B17" s="6" t="s">
        <v>134</v>
      </c>
      <c r="C17" s="6" t="s">
        <v>135</v>
      </c>
      <c r="D17" s="6" t="s">
        <v>136</v>
      </c>
      <c r="E17" s="8" t="n">
        <f aca="false">Casos!T8</f>
        <v>2631.73</v>
      </c>
    </row>
    <row r="18" customFormat="false" ht="43.5" hidden="false" customHeight="true" outlineLevel="0" collapsed="false">
      <c r="A18" s="25" t="s">
        <v>78</v>
      </c>
      <c r="B18" s="6" t="s">
        <v>137</v>
      </c>
      <c r="C18" s="6" t="s">
        <v>138</v>
      </c>
      <c r="D18" s="6" t="s">
        <v>139</v>
      </c>
      <c r="E18" s="8" t="n">
        <f aca="false">Casos!U8</f>
        <v>292.77</v>
      </c>
    </row>
    <row r="19" customFormat="false" ht="43.5" hidden="false" customHeight="true" outlineLevel="0" collapsed="false">
      <c r="A19" s="25" t="s">
        <v>140</v>
      </c>
      <c r="B19" s="6" t="s">
        <v>141</v>
      </c>
      <c r="C19" s="6" t="s">
        <v>142</v>
      </c>
      <c r="D19" s="6" t="s">
        <v>143</v>
      </c>
      <c r="E1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2026-10-25T18:37:46Z</dcterms:created>
  <dc:creator>openpyxl</dc:creator>
  <dc:description/>
  <dc:language>en-US</dc:language>
  <cp:lastModifiedBy/>
  <dcterms:modified xsi:type="dcterms:W3CDTF">2026-10-25T18:37:46Z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